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/>
  <workbookPr refreshAllConnections="1" defaultThemeVersion="166925"/>
  <mc:AlternateContent xmlns:mc="http://schemas.openxmlformats.org/markup-compatibility/2006">
    <mc:Choice Requires="x15">
      <x15ac:absPath xmlns:x15ac="http://schemas.microsoft.com/office/spreadsheetml/2010/11/ac" url="C:\Users\andre\Development\Modules_ABe\WinEventLogCustomization\WinEventLogCustomization\bin\"/>
    </mc:Choice>
  </mc:AlternateContent>
  <xr:revisionPtr revIDLastSave="0" documentId="13_ncr:1_{3E833D37-06B7-4EDC-8CE6-6362DD68756B}" xr6:coauthVersionLast="47" xr6:coauthVersionMax="47" xr10:uidLastSave="{00000000-0000-0000-0000-000000000000}"/>
  <bookViews>
    <workbookView xWindow="-98" yWindow="-98" windowWidth="28996" windowHeight="17475" xr2:uid="{00000000-000D-0000-FFFF-FFFF00000000}"/>
  </bookViews>
  <sheets>
    <sheet name="CustomEventLogChannels" sheetId="4" r:id="rId1"/>
    <sheet name="ReferenceData" sheetId="3" r:id="rId2"/>
    <sheet name="View_Diagram_CheckPerGroup" sheetId="9" r:id="rId3"/>
    <sheet name="View_Pivot_CheckPerGroup" sheetId="8" r:id="rId4"/>
  </sheets>
  <calcPr calcId="191029"/>
  <pivotCaches>
    <pivotCache cacheId="5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12" i="4" l="1"/>
  <c r="W13" i="4"/>
  <c r="W14" i="4"/>
  <c r="W15" i="4"/>
  <c r="W16" i="4"/>
  <c r="W17" i="4"/>
  <c r="W18" i="4"/>
  <c r="W19" i="4"/>
  <c r="W20" i="4"/>
  <c r="W21" i="4"/>
  <c r="W22" i="4"/>
  <c r="W23" i="4"/>
  <c r="W24" i="4"/>
  <c r="W25" i="4"/>
  <c r="W26" i="4"/>
  <c r="W27" i="4"/>
  <c r="W28" i="4"/>
  <c r="W29" i="4"/>
  <c r="W30" i="4"/>
  <c r="W31" i="4"/>
  <c r="W32" i="4"/>
  <c r="W33" i="4"/>
  <c r="W34" i="4"/>
  <c r="W35" i="4"/>
  <c r="W36" i="4"/>
  <c r="W37" i="4"/>
  <c r="W38" i="4"/>
  <c r="W39" i="4"/>
  <c r="W40" i="4"/>
  <c r="W41" i="4"/>
  <c r="W42" i="4"/>
  <c r="W43" i="4"/>
  <c r="W44" i="4"/>
  <c r="W45" i="4"/>
  <c r="W46" i="4"/>
  <c r="W47" i="4"/>
  <c r="W48" i="4"/>
  <c r="W49" i="4"/>
  <c r="W50" i="4"/>
  <c r="W51" i="4"/>
  <c r="W52" i="4"/>
  <c r="W53" i="4"/>
  <c r="W54" i="4"/>
  <c r="W55" i="4"/>
  <c r="W56" i="4"/>
  <c r="W57" i="4"/>
  <c r="W58" i="4"/>
  <c r="W59" i="4"/>
  <c r="W60" i="4"/>
  <c r="W61" i="4"/>
  <c r="W62" i="4"/>
  <c r="W63" i="4"/>
  <c r="W64" i="4"/>
  <c r="W65" i="4"/>
  <c r="W66" i="4"/>
  <c r="W67" i="4"/>
  <c r="W68" i="4"/>
  <c r="W69" i="4"/>
  <c r="W70" i="4"/>
  <c r="W71" i="4"/>
  <c r="W72" i="4"/>
  <c r="W73" i="4"/>
  <c r="W74" i="4"/>
  <c r="W75" i="4"/>
  <c r="W76" i="4"/>
  <c r="W77" i="4"/>
  <c r="W78" i="4"/>
  <c r="W79" i="4"/>
  <c r="W80" i="4"/>
  <c r="W81" i="4"/>
  <c r="W82" i="4"/>
  <c r="W83" i="4"/>
  <c r="W84" i="4"/>
  <c r="W85" i="4"/>
  <c r="W86" i="4"/>
  <c r="W87" i="4"/>
  <c r="W88" i="4"/>
  <c r="W89" i="4"/>
  <c r="W90" i="4"/>
  <c r="W91" i="4"/>
  <c r="W92" i="4"/>
  <c r="W93" i="4"/>
  <c r="W94" i="4"/>
  <c r="W95" i="4"/>
  <c r="W96" i="4"/>
  <c r="W97" i="4"/>
  <c r="W98" i="4"/>
  <c r="W99" i="4"/>
  <c r="W100" i="4"/>
  <c r="W101" i="4"/>
  <c r="W102" i="4"/>
  <c r="W103" i="4"/>
  <c r="W104" i="4"/>
  <c r="W105" i="4"/>
  <c r="W106" i="4"/>
  <c r="W107" i="4"/>
  <c r="W108" i="4"/>
  <c r="W109" i="4"/>
  <c r="W110" i="4"/>
  <c r="W111" i="4"/>
  <c r="W112" i="4"/>
  <c r="W113" i="4"/>
  <c r="W114" i="4"/>
  <c r="W115" i="4"/>
  <c r="W116" i="4"/>
  <c r="W117" i="4"/>
  <c r="W118" i="4"/>
  <c r="W119" i="4"/>
  <c r="W120" i="4"/>
  <c r="W121" i="4"/>
  <c r="W122" i="4"/>
  <c r="W123" i="4"/>
  <c r="W124" i="4"/>
  <c r="W125" i="4"/>
  <c r="W126" i="4"/>
  <c r="W127" i="4"/>
  <c r="W128" i="4"/>
  <c r="W129" i="4"/>
  <c r="W130" i="4"/>
  <c r="W131" i="4"/>
  <c r="W132" i="4"/>
  <c r="W133" i="4"/>
  <c r="W134" i="4"/>
  <c r="W135" i="4"/>
  <c r="W136" i="4"/>
  <c r="W137" i="4"/>
  <c r="W138" i="4"/>
  <c r="W139" i="4"/>
  <c r="W140" i="4"/>
  <c r="W141" i="4"/>
  <c r="W142" i="4"/>
  <c r="W143" i="4"/>
  <c r="W144" i="4"/>
  <c r="W145" i="4"/>
  <c r="W146" i="4"/>
  <c r="W147" i="4"/>
  <c r="W148" i="4"/>
  <c r="W149" i="4"/>
  <c r="W150" i="4"/>
  <c r="W151" i="4"/>
  <c r="W152" i="4"/>
  <c r="W153" i="4"/>
  <c r="W154" i="4"/>
  <c r="W155" i="4"/>
  <c r="W156" i="4"/>
  <c r="W157" i="4"/>
  <c r="W158" i="4"/>
  <c r="W159" i="4"/>
  <c r="W160" i="4"/>
  <c r="W161" i="4"/>
  <c r="W162" i="4"/>
  <c r="W163" i="4"/>
  <c r="W164" i="4"/>
  <c r="W165" i="4"/>
  <c r="W166" i="4"/>
  <c r="W167" i="4"/>
  <c r="W168" i="4"/>
  <c r="W169" i="4"/>
  <c r="W170" i="4"/>
  <c r="W171" i="4"/>
  <c r="W172" i="4"/>
  <c r="W173" i="4"/>
  <c r="W174" i="4"/>
  <c r="W175" i="4"/>
  <c r="W176" i="4"/>
  <c r="W177" i="4"/>
  <c r="W178" i="4"/>
  <c r="W179" i="4"/>
  <c r="W180" i="4"/>
  <c r="W181" i="4"/>
  <c r="W182" i="4"/>
  <c r="W183" i="4"/>
  <c r="W184" i="4"/>
  <c r="W185" i="4"/>
  <c r="W186" i="4"/>
  <c r="W187" i="4"/>
  <c r="W188" i="4"/>
  <c r="W189" i="4"/>
  <c r="W190" i="4"/>
  <c r="W191" i="4"/>
  <c r="W192" i="4"/>
  <c r="W193" i="4"/>
  <c r="W194" i="4"/>
  <c r="W195" i="4"/>
  <c r="W196" i="4"/>
  <c r="W197" i="4"/>
  <c r="W198" i="4"/>
  <c r="W199" i="4"/>
  <c r="W200" i="4"/>
  <c r="W201" i="4"/>
  <c r="W202" i="4"/>
  <c r="W203" i="4"/>
  <c r="W204" i="4"/>
  <c r="W205" i="4"/>
  <c r="W206" i="4"/>
  <c r="W207" i="4"/>
  <c r="W208" i="4"/>
  <c r="W209" i="4"/>
  <c r="W210" i="4"/>
  <c r="W211" i="4"/>
  <c r="W212" i="4"/>
  <c r="W213" i="4"/>
  <c r="W214" i="4"/>
  <c r="W215" i="4"/>
  <c r="W216" i="4"/>
  <c r="W217" i="4"/>
  <c r="W218" i="4"/>
  <c r="W219" i="4"/>
  <c r="W220" i="4"/>
  <c r="W221" i="4"/>
  <c r="W222" i="4"/>
  <c r="W223" i="4"/>
  <c r="W224" i="4"/>
  <c r="W225" i="4"/>
  <c r="W226" i="4"/>
  <c r="W227" i="4"/>
  <c r="W228" i="4"/>
  <c r="W229" i="4"/>
  <c r="W230" i="4"/>
  <c r="W231" i="4"/>
  <c r="W232" i="4"/>
  <c r="W233" i="4"/>
  <c r="W234" i="4"/>
  <c r="W235" i="4"/>
  <c r="W236" i="4"/>
  <c r="W237" i="4"/>
  <c r="W238" i="4"/>
  <c r="W239" i="4"/>
  <c r="W240" i="4"/>
  <c r="W241" i="4"/>
  <c r="W242" i="4"/>
  <c r="W243" i="4"/>
  <c r="W244" i="4"/>
  <c r="W245" i="4"/>
  <c r="W246" i="4"/>
  <c r="W247" i="4"/>
  <c r="W248" i="4"/>
  <c r="W249" i="4"/>
  <c r="W250" i="4"/>
  <c r="W251" i="4"/>
  <c r="W252" i="4"/>
  <c r="W253" i="4"/>
  <c r="W254" i="4"/>
  <c r="W255" i="4"/>
  <c r="W256" i="4"/>
  <c r="W257" i="4"/>
  <c r="W258" i="4"/>
  <c r="W259" i="4"/>
  <c r="W260" i="4"/>
  <c r="W261" i="4"/>
  <c r="W262" i="4"/>
  <c r="W263" i="4"/>
  <c r="W264" i="4"/>
  <c r="W265" i="4"/>
  <c r="W266" i="4"/>
  <c r="W267" i="4"/>
  <c r="W268" i="4"/>
  <c r="W269" i="4"/>
  <c r="W270" i="4"/>
  <c r="W271" i="4"/>
  <c r="W272" i="4"/>
  <c r="W273" i="4"/>
  <c r="W274" i="4"/>
  <c r="W275" i="4"/>
  <c r="W276" i="4"/>
  <c r="W277" i="4"/>
  <c r="W278" i="4"/>
  <c r="W279" i="4"/>
  <c r="W280" i="4"/>
  <c r="W281" i="4"/>
  <c r="W282" i="4"/>
  <c r="W283" i="4"/>
  <c r="W284" i="4"/>
  <c r="W285" i="4"/>
  <c r="W286" i="4"/>
  <c r="W287" i="4"/>
  <c r="W288" i="4"/>
  <c r="W289" i="4"/>
  <c r="W290" i="4"/>
  <c r="W291" i="4"/>
  <c r="W292" i="4"/>
  <c r="W293" i="4"/>
  <c r="W294" i="4"/>
  <c r="W295" i="4"/>
  <c r="W296" i="4"/>
  <c r="W297" i="4"/>
  <c r="W298" i="4"/>
  <c r="W299" i="4"/>
  <c r="W300" i="4"/>
  <c r="W301" i="4"/>
  <c r="W302" i="4"/>
  <c r="W303" i="4"/>
  <c r="W304" i="4"/>
  <c r="W305" i="4"/>
  <c r="W306" i="4"/>
  <c r="W307" i="4"/>
  <c r="W308" i="4"/>
  <c r="W309" i="4"/>
  <c r="W310" i="4"/>
  <c r="W311" i="4"/>
  <c r="W312" i="4"/>
  <c r="W313" i="4"/>
  <c r="W314" i="4"/>
  <c r="W315" i="4"/>
  <c r="W316" i="4"/>
  <c r="W317" i="4"/>
  <c r="W318" i="4"/>
  <c r="W319" i="4"/>
  <c r="W320" i="4"/>
  <c r="W321" i="4"/>
  <c r="W322" i="4"/>
  <c r="W323" i="4"/>
  <c r="W324" i="4"/>
  <c r="W325" i="4"/>
  <c r="W326" i="4"/>
  <c r="W327" i="4"/>
  <c r="W328" i="4"/>
  <c r="W329" i="4"/>
  <c r="W330" i="4"/>
  <c r="W331" i="4"/>
  <c r="W332" i="4"/>
  <c r="W333" i="4"/>
  <c r="W334" i="4"/>
  <c r="W335" i="4"/>
  <c r="W336" i="4"/>
  <c r="W337" i="4"/>
  <c r="W338" i="4"/>
  <c r="W339" i="4"/>
  <c r="W340" i="4"/>
  <c r="W341" i="4"/>
  <c r="W342" i="4"/>
  <c r="W343" i="4"/>
  <c r="W344" i="4"/>
  <c r="W345" i="4"/>
  <c r="W346" i="4"/>
  <c r="W347" i="4"/>
  <c r="W348" i="4"/>
  <c r="W349" i="4"/>
  <c r="W350" i="4"/>
  <c r="W351" i="4"/>
  <c r="W352" i="4"/>
  <c r="W353" i="4"/>
  <c r="W354" i="4"/>
  <c r="W355" i="4"/>
  <c r="W356" i="4"/>
  <c r="W357" i="4"/>
  <c r="W358" i="4"/>
  <c r="W359" i="4"/>
  <c r="W360" i="4"/>
  <c r="W361" i="4"/>
  <c r="W362" i="4"/>
  <c r="W363" i="4"/>
  <c r="W364" i="4"/>
  <c r="W365" i="4"/>
  <c r="W366" i="4"/>
  <c r="W367" i="4"/>
  <c r="W368" i="4"/>
  <c r="W369" i="4"/>
  <c r="W370" i="4"/>
  <c r="W371" i="4"/>
  <c r="W372" i="4"/>
  <c r="W373" i="4"/>
  <c r="W374" i="4"/>
  <c r="W375" i="4"/>
  <c r="W376" i="4"/>
  <c r="W377" i="4"/>
  <c r="W378" i="4"/>
  <c r="W379" i="4"/>
  <c r="W380" i="4"/>
  <c r="W381" i="4"/>
  <c r="W382" i="4"/>
  <c r="W383" i="4"/>
  <c r="W384" i="4"/>
  <c r="W385" i="4"/>
  <c r="W386" i="4"/>
  <c r="W387" i="4"/>
  <c r="W388" i="4"/>
  <c r="W389" i="4"/>
  <c r="W390" i="4"/>
  <c r="W391" i="4"/>
  <c r="W392" i="4"/>
  <c r="W393" i="4"/>
  <c r="W394" i="4"/>
  <c r="W395" i="4"/>
  <c r="W396" i="4"/>
  <c r="W397" i="4"/>
  <c r="W398" i="4"/>
  <c r="W399" i="4"/>
  <c r="W400" i="4"/>
  <c r="W401" i="4"/>
  <c r="W402" i="4"/>
  <c r="W403" i="4"/>
  <c r="W404" i="4"/>
  <c r="W405" i="4"/>
  <c r="W406" i="4"/>
  <c r="W407" i="4"/>
  <c r="W408" i="4"/>
  <c r="W409" i="4"/>
  <c r="W410" i="4"/>
  <c r="W411" i="4"/>
  <c r="W412" i="4"/>
  <c r="W413" i="4"/>
  <c r="W414" i="4"/>
  <c r="W415" i="4"/>
  <c r="W416" i="4"/>
  <c r="W417" i="4"/>
  <c r="W418" i="4"/>
  <c r="W419" i="4"/>
  <c r="W420" i="4"/>
  <c r="W421" i="4"/>
  <c r="W422" i="4"/>
  <c r="W423" i="4"/>
  <c r="W424" i="4"/>
  <c r="W425" i="4"/>
  <c r="W426" i="4"/>
  <c r="W427" i="4"/>
  <c r="W428" i="4"/>
  <c r="W429" i="4"/>
  <c r="W430" i="4"/>
  <c r="W431" i="4"/>
  <c r="W432" i="4"/>
  <c r="W433" i="4"/>
  <c r="W434" i="4"/>
  <c r="W435" i="4"/>
  <c r="W436" i="4"/>
  <c r="W437" i="4"/>
  <c r="W438" i="4"/>
  <c r="W439" i="4"/>
  <c r="W440" i="4"/>
  <c r="W441" i="4"/>
  <c r="W442" i="4"/>
  <c r="W443" i="4"/>
  <c r="W444" i="4"/>
  <c r="W445" i="4"/>
  <c r="W446" i="4"/>
  <c r="W447" i="4"/>
  <c r="W448" i="4"/>
  <c r="W449" i="4"/>
  <c r="W450" i="4"/>
  <c r="W451" i="4"/>
  <c r="W452" i="4"/>
  <c r="W453" i="4"/>
  <c r="W454" i="4"/>
  <c r="W455" i="4"/>
  <c r="W456" i="4"/>
  <c r="W457" i="4"/>
  <c r="W458" i="4"/>
  <c r="W459" i="4"/>
  <c r="W460" i="4"/>
  <c r="W461" i="4"/>
  <c r="W462" i="4"/>
  <c r="W463" i="4"/>
  <c r="W464" i="4"/>
  <c r="W465" i="4"/>
  <c r="W466" i="4"/>
  <c r="W467" i="4"/>
  <c r="W468" i="4"/>
  <c r="W469" i="4"/>
  <c r="W470" i="4"/>
  <c r="W471" i="4"/>
  <c r="W472" i="4"/>
  <c r="W473" i="4"/>
  <c r="W474" i="4"/>
  <c r="W475" i="4"/>
  <c r="W476" i="4"/>
  <c r="W477" i="4"/>
  <c r="W478" i="4"/>
  <c r="W479" i="4"/>
  <c r="W480" i="4"/>
  <c r="W481" i="4"/>
  <c r="W482" i="4"/>
  <c r="W483" i="4"/>
  <c r="W484" i="4"/>
  <c r="W485" i="4"/>
  <c r="W486" i="4"/>
  <c r="W487" i="4"/>
  <c r="W488" i="4"/>
  <c r="W489" i="4"/>
  <c r="W490" i="4"/>
  <c r="W491" i="4"/>
  <c r="W492" i="4"/>
  <c r="W493" i="4"/>
  <c r="W494" i="4"/>
  <c r="W495" i="4"/>
  <c r="W496" i="4"/>
  <c r="W497" i="4"/>
  <c r="W498" i="4"/>
  <c r="W499" i="4"/>
  <c r="W500" i="4"/>
  <c r="W501" i="4"/>
  <c r="W502" i="4"/>
  <c r="W503" i="4"/>
  <c r="W504" i="4"/>
  <c r="W505" i="4"/>
  <c r="W506" i="4"/>
  <c r="W507" i="4"/>
  <c r="W508" i="4"/>
  <c r="W509" i="4"/>
  <c r="W510" i="4"/>
  <c r="W511" i="4"/>
  <c r="W512" i="4"/>
  <c r="W513" i="4"/>
  <c r="W514" i="4"/>
  <c r="W515" i="4"/>
  <c r="W516" i="4"/>
  <c r="W517" i="4"/>
  <c r="W518" i="4"/>
  <c r="W519" i="4"/>
  <c r="W520" i="4"/>
  <c r="W521" i="4"/>
  <c r="W522" i="4"/>
  <c r="W523" i="4"/>
  <c r="W524" i="4"/>
  <c r="W525" i="4"/>
  <c r="W526" i="4"/>
  <c r="W527" i="4"/>
  <c r="W528" i="4"/>
  <c r="W529" i="4"/>
  <c r="W530" i="4"/>
  <c r="W531" i="4"/>
  <c r="W532" i="4"/>
  <c r="W533" i="4"/>
  <c r="W534" i="4"/>
  <c r="W535" i="4"/>
  <c r="W536" i="4"/>
  <c r="W537" i="4"/>
  <c r="W538" i="4"/>
  <c r="W539" i="4"/>
  <c r="W540" i="4"/>
  <c r="W541" i="4"/>
  <c r="W542" i="4"/>
  <c r="W543" i="4"/>
  <c r="W544" i="4"/>
  <c r="W545" i="4"/>
  <c r="W546" i="4"/>
  <c r="W547" i="4"/>
  <c r="W548" i="4"/>
  <c r="W549" i="4"/>
  <c r="W550" i="4"/>
  <c r="W551" i="4"/>
  <c r="W552" i="4"/>
  <c r="W553" i="4"/>
  <c r="W554" i="4"/>
  <c r="W555" i="4"/>
  <c r="W556" i="4"/>
  <c r="W557" i="4"/>
  <c r="W558" i="4"/>
  <c r="W559" i="4"/>
  <c r="W560" i="4"/>
  <c r="W561" i="4"/>
  <c r="W562" i="4"/>
  <c r="W563" i="4"/>
  <c r="W564" i="4"/>
  <c r="W565" i="4"/>
  <c r="W566" i="4"/>
  <c r="W567" i="4"/>
  <c r="W568" i="4"/>
  <c r="W569" i="4"/>
  <c r="W570" i="4"/>
  <c r="W571" i="4"/>
  <c r="W572" i="4"/>
  <c r="W573" i="4"/>
  <c r="W574" i="4"/>
  <c r="W575" i="4"/>
  <c r="W576" i="4"/>
  <c r="W577" i="4"/>
  <c r="W578" i="4"/>
  <c r="W579" i="4"/>
  <c r="W580" i="4"/>
  <c r="W581" i="4"/>
  <c r="W582" i="4"/>
  <c r="W583" i="4"/>
  <c r="W584" i="4"/>
  <c r="W585" i="4"/>
  <c r="W586" i="4"/>
  <c r="W587" i="4"/>
  <c r="W588" i="4"/>
  <c r="W589" i="4"/>
  <c r="W590" i="4"/>
  <c r="W591" i="4"/>
  <c r="W592" i="4"/>
  <c r="W593" i="4"/>
  <c r="W594" i="4"/>
  <c r="W595" i="4"/>
  <c r="W596" i="4"/>
  <c r="W597" i="4"/>
  <c r="W598" i="4"/>
  <c r="W599" i="4"/>
  <c r="W600" i="4"/>
  <c r="W601" i="4"/>
  <c r="W602" i="4"/>
  <c r="W603" i="4"/>
  <c r="W604" i="4"/>
  <c r="W605" i="4"/>
  <c r="W606" i="4"/>
  <c r="W607" i="4"/>
  <c r="W608" i="4"/>
  <c r="W609" i="4"/>
  <c r="W610" i="4"/>
  <c r="W611" i="4"/>
  <c r="W612" i="4"/>
  <c r="W613" i="4"/>
  <c r="W614" i="4"/>
  <c r="W615" i="4"/>
  <c r="W616" i="4"/>
  <c r="W617" i="4"/>
  <c r="W618" i="4"/>
  <c r="W619" i="4"/>
  <c r="W620" i="4"/>
  <c r="W621" i="4"/>
  <c r="W622" i="4"/>
  <c r="W623" i="4"/>
  <c r="W624" i="4"/>
  <c r="W625" i="4"/>
  <c r="W626" i="4"/>
  <c r="W627" i="4"/>
  <c r="W628" i="4"/>
  <c r="W629" i="4"/>
  <c r="W630" i="4"/>
  <c r="W631" i="4"/>
  <c r="W632" i="4"/>
  <c r="W633" i="4"/>
  <c r="W634" i="4"/>
  <c r="W635" i="4"/>
  <c r="W636" i="4"/>
  <c r="W637" i="4"/>
  <c r="W638" i="4"/>
  <c r="W639" i="4"/>
  <c r="W640" i="4"/>
  <c r="W641" i="4"/>
  <c r="W642" i="4"/>
  <c r="W643" i="4"/>
  <c r="W644" i="4"/>
  <c r="W645" i="4"/>
  <c r="W646" i="4"/>
  <c r="W647" i="4"/>
  <c r="W648" i="4"/>
  <c r="W649" i="4"/>
  <c r="W650" i="4"/>
  <c r="W651" i="4"/>
  <c r="W652" i="4"/>
  <c r="W653" i="4"/>
  <c r="W654" i="4"/>
  <c r="W655" i="4"/>
  <c r="W656" i="4"/>
  <c r="W657" i="4"/>
  <c r="W658" i="4"/>
  <c r="W659" i="4"/>
  <c r="W660" i="4"/>
  <c r="W661" i="4"/>
  <c r="W662" i="4"/>
  <c r="W663" i="4"/>
  <c r="W664" i="4"/>
  <c r="W665" i="4"/>
  <c r="W666" i="4"/>
  <c r="W667" i="4"/>
  <c r="W668" i="4"/>
  <c r="W669" i="4"/>
  <c r="W670" i="4"/>
  <c r="W671" i="4"/>
  <c r="W672" i="4"/>
  <c r="W673" i="4"/>
  <c r="W674" i="4"/>
  <c r="W675" i="4"/>
  <c r="W676" i="4"/>
  <c r="W677" i="4"/>
  <c r="W678" i="4"/>
  <c r="W679" i="4"/>
  <c r="W680" i="4"/>
  <c r="W681" i="4"/>
  <c r="W682" i="4"/>
  <c r="W683" i="4"/>
  <c r="W684" i="4"/>
  <c r="W685" i="4"/>
  <c r="W686" i="4"/>
  <c r="W687" i="4"/>
  <c r="W688" i="4"/>
  <c r="W689" i="4"/>
  <c r="W690" i="4"/>
  <c r="W691" i="4"/>
  <c r="W692" i="4"/>
  <c r="W693" i="4"/>
  <c r="W694" i="4"/>
  <c r="W695" i="4"/>
  <c r="W696" i="4"/>
  <c r="W697" i="4"/>
  <c r="W698" i="4"/>
  <c r="W699" i="4"/>
  <c r="W700" i="4"/>
  <c r="W701" i="4"/>
  <c r="W702" i="4"/>
  <c r="W703" i="4"/>
  <c r="W704" i="4"/>
  <c r="W705" i="4"/>
  <c r="W706" i="4"/>
  <c r="W707" i="4"/>
  <c r="W708" i="4"/>
  <c r="W709" i="4"/>
  <c r="W710" i="4"/>
  <c r="W711" i="4"/>
  <c r="W712" i="4"/>
  <c r="W713" i="4"/>
  <c r="W714" i="4"/>
  <c r="W715" i="4"/>
  <c r="W716" i="4"/>
  <c r="W717" i="4"/>
  <c r="W718" i="4"/>
  <c r="W719" i="4"/>
  <c r="W720" i="4"/>
  <c r="W721" i="4"/>
  <c r="W722" i="4"/>
  <c r="W723" i="4"/>
  <c r="W724" i="4"/>
  <c r="W725" i="4"/>
  <c r="W726" i="4"/>
  <c r="W727" i="4"/>
  <c r="W728" i="4"/>
  <c r="W729" i="4"/>
  <c r="W730" i="4"/>
  <c r="W731" i="4"/>
  <c r="W732" i="4"/>
  <c r="W733" i="4"/>
  <c r="W734" i="4"/>
  <c r="W735" i="4"/>
  <c r="W736" i="4"/>
  <c r="W737" i="4"/>
  <c r="W738" i="4"/>
  <c r="W739" i="4"/>
  <c r="W740" i="4"/>
  <c r="W741" i="4"/>
  <c r="W742" i="4"/>
  <c r="W743" i="4"/>
  <c r="W744" i="4"/>
  <c r="W745" i="4"/>
  <c r="W746" i="4"/>
  <c r="W747" i="4"/>
  <c r="W748" i="4"/>
  <c r="W749" i="4"/>
  <c r="W750" i="4"/>
  <c r="W751" i="4"/>
  <c r="W752" i="4"/>
  <c r="W753" i="4"/>
  <c r="W754" i="4"/>
  <c r="W755" i="4"/>
  <c r="W756" i="4"/>
  <c r="W757" i="4"/>
  <c r="W758" i="4"/>
  <c r="W759" i="4"/>
  <c r="W760" i="4"/>
  <c r="W761" i="4"/>
  <c r="W762" i="4"/>
  <c r="W763" i="4"/>
  <c r="W764" i="4"/>
  <c r="W765" i="4"/>
  <c r="W766" i="4"/>
  <c r="W767" i="4"/>
  <c r="W768" i="4"/>
  <c r="W769" i="4"/>
  <c r="W770" i="4"/>
  <c r="W771" i="4"/>
  <c r="W772" i="4"/>
  <c r="W773" i="4"/>
  <c r="W774" i="4"/>
  <c r="W775" i="4"/>
  <c r="W776" i="4"/>
  <c r="W777" i="4"/>
  <c r="W778" i="4"/>
  <c r="W779" i="4"/>
  <c r="W780" i="4"/>
  <c r="W781" i="4"/>
  <c r="W782" i="4"/>
  <c r="W783" i="4"/>
  <c r="W784" i="4"/>
  <c r="W785" i="4"/>
  <c r="W786" i="4"/>
  <c r="W787" i="4"/>
  <c r="W788" i="4"/>
  <c r="W789" i="4"/>
  <c r="W790" i="4"/>
  <c r="W791" i="4"/>
  <c r="W792" i="4"/>
  <c r="W793" i="4"/>
  <c r="W794" i="4"/>
  <c r="W795" i="4"/>
  <c r="W796" i="4"/>
  <c r="W797" i="4"/>
  <c r="W798" i="4"/>
  <c r="W799" i="4"/>
  <c r="W800" i="4"/>
  <c r="W801" i="4"/>
  <c r="W802" i="4"/>
  <c r="W803" i="4"/>
  <c r="W804" i="4"/>
  <c r="W805" i="4"/>
  <c r="W806" i="4"/>
  <c r="W807" i="4"/>
  <c r="W808" i="4"/>
  <c r="W809" i="4"/>
  <c r="W810" i="4"/>
  <c r="W811" i="4"/>
  <c r="W812" i="4"/>
  <c r="W813" i="4"/>
  <c r="W814" i="4"/>
  <c r="W815" i="4"/>
  <c r="W816" i="4"/>
  <c r="W817" i="4"/>
  <c r="W818" i="4"/>
  <c r="W819" i="4"/>
  <c r="W820" i="4"/>
  <c r="W821" i="4"/>
  <c r="W822" i="4"/>
  <c r="W823" i="4"/>
  <c r="W824" i="4"/>
  <c r="W825" i="4"/>
  <c r="W826" i="4"/>
  <c r="W827" i="4"/>
  <c r="W828" i="4"/>
  <c r="W829" i="4"/>
  <c r="W830" i="4"/>
  <c r="W831" i="4"/>
  <c r="W832" i="4"/>
  <c r="W833" i="4"/>
  <c r="W834" i="4"/>
  <c r="W835" i="4"/>
  <c r="W836" i="4"/>
  <c r="W837" i="4"/>
  <c r="W838" i="4"/>
  <c r="W839" i="4"/>
  <c r="W840" i="4"/>
  <c r="W841" i="4"/>
  <c r="W842" i="4"/>
  <c r="W843" i="4"/>
  <c r="W844" i="4"/>
  <c r="W845" i="4"/>
  <c r="W846" i="4"/>
  <c r="W847" i="4"/>
  <c r="W848" i="4"/>
  <c r="W849" i="4"/>
  <c r="W850" i="4"/>
  <c r="W851" i="4"/>
  <c r="W852" i="4"/>
  <c r="W853" i="4"/>
  <c r="W854" i="4"/>
  <c r="W855" i="4"/>
  <c r="W856" i="4"/>
  <c r="W857" i="4"/>
  <c r="W858" i="4"/>
  <c r="W859" i="4"/>
  <c r="W860" i="4"/>
  <c r="W861" i="4"/>
  <c r="W862" i="4"/>
  <c r="W863" i="4"/>
  <c r="W864" i="4"/>
  <c r="W865" i="4"/>
  <c r="W866" i="4"/>
  <c r="W867" i="4"/>
  <c r="W868" i="4"/>
  <c r="W869" i="4"/>
  <c r="W870" i="4"/>
  <c r="W871" i="4"/>
  <c r="W872" i="4"/>
  <c r="W873" i="4"/>
  <c r="W874" i="4"/>
  <c r="W875" i="4"/>
  <c r="W876" i="4"/>
  <c r="W877" i="4"/>
  <c r="W878" i="4"/>
  <c r="W879" i="4"/>
  <c r="W880" i="4"/>
  <c r="W881" i="4"/>
  <c r="W882" i="4"/>
  <c r="W883" i="4"/>
  <c r="W884" i="4"/>
  <c r="W885" i="4"/>
  <c r="W886" i="4"/>
  <c r="W887" i="4"/>
  <c r="W888" i="4"/>
  <c r="W889" i="4"/>
  <c r="W890" i="4"/>
  <c r="W891" i="4"/>
  <c r="W892" i="4"/>
  <c r="W893" i="4"/>
  <c r="W894" i="4"/>
  <c r="W895" i="4"/>
  <c r="W896" i="4"/>
  <c r="W897" i="4"/>
  <c r="W898" i="4"/>
  <c r="W899" i="4"/>
  <c r="W900" i="4"/>
  <c r="W901" i="4"/>
  <c r="W902" i="4"/>
  <c r="W903" i="4"/>
  <c r="W904" i="4"/>
  <c r="W905" i="4"/>
  <c r="W906" i="4"/>
  <c r="W907" i="4"/>
  <c r="W908" i="4"/>
  <c r="W909" i="4"/>
  <c r="W910" i="4"/>
  <c r="W911" i="4"/>
  <c r="W912" i="4"/>
  <c r="W913" i="4"/>
  <c r="W914" i="4"/>
  <c r="W915" i="4"/>
  <c r="W916" i="4"/>
  <c r="W917" i="4"/>
  <c r="W918" i="4"/>
  <c r="W919" i="4"/>
  <c r="W920" i="4"/>
  <c r="W921" i="4"/>
  <c r="W922" i="4"/>
  <c r="W923" i="4"/>
  <c r="W924" i="4"/>
  <c r="W925" i="4"/>
  <c r="W926" i="4"/>
  <c r="W927" i="4"/>
  <c r="W928" i="4"/>
  <c r="W929" i="4"/>
  <c r="W930" i="4"/>
  <c r="W931" i="4"/>
  <c r="W932" i="4"/>
  <c r="W933" i="4"/>
  <c r="W934" i="4"/>
  <c r="W935" i="4"/>
  <c r="W936" i="4"/>
  <c r="W937" i="4"/>
  <c r="W938" i="4"/>
  <c r="W939" i="4"/>
  <c r="W940" i="4"/>
  <c r="W941" i="4"/>
  <c r="W942" i="4"/>
  <c r="W943" i="4"/>
  <c r="W944" i="4"/>
  <c r="W945" i="4"/>
  <c r="W946" i="4"/>
  <c r="W947" i="4"/>
  <c r="W948" i="4"/>
  <c r="W949" i="4"/>
  <c r="W950" i="4"/>
  <c r="W951" i="4"/>
  <c r="W952" i="4"/>
  <c r="W953" i="4"/>
  <c r="W954" i="4"/>
  <c r="W955" i="4"/>
  <c r="W956" i="4"/>
  <c r="W957" i="4"/>
  <c r="W958" i="4"/>
  <c r="W959" i="4"/>
  <c r="W960" i="4"/>
  <c r="W961" i="4"/>
  <c r="W962" i="4"/>
  <c r="W963" i="4"/>
  <c r="W964" i="4"/>
  <c r="W965" i="4"/>
  <c r="W966" i="4"/>
  <c r="W967" i="4"/>
  <c r="W968" i="4"/>
  <c r="W969" i="4"/>
  <c r="W970" i="4"/>
  <c r="W971" i="4"/>
  <c r="W972" i="4"/>
  <c r="W973" i="4"/>
  <c r="W974" i="4"/>
  <c r="W975" i="4"/>
  <c r="W976" i="4"/>
  <c r="W977" i="4"/>
  <c r="W978" i="4"/>
  <c r="W979" i="4"/>
  <c r="W980" i="4"/>
  <c r="W981" i="4"/>
  <c r="W982" i="4"/>
  <c r="W983" i="4"/>
  <c r="W984" i="4"/>
  <c r="W985" i="4"/>
  <c r="W986" i="4"/>
  <c r="W987" i="4"/>
  <c r="W988" i="4"/>
  <c r="W989" i="4"/>
  <c r="W990" i="4"/>
  <c r="W991" i="4"/>
  <c r="W992" i="4"/>
  <c r="W993" i="4"/>
  <c r="W994" i="4"/>
  <c r="W995" i="4"/>
  <c r="W996" i="4"/>
  <c r="W997" i="4"/>
  <c r="W998" i="4"/>
  <c r="W999" i="4"/>
  <c r="W1000" i="4"/>
  <c r="W1001" i="4"/>
  <c r="W1002" i="4"/>
  <c r="W1003" i="4"/>
  <c r="W1004" i="4"/>
  <c r="W1005" i="4"/>
  <c r="W1006" i="4"/>
  <c r="W1007" i="4"/>
  <c r="W1008" i="4"/>
  <c r="W1009" i="4"/>
  <c r="W1010" i="4"/>
  <c r="W1011" i="4"/>
  <c r="W1012" i="4"/>
  <c r="W1013" i="4"/>
  <c r="W1014" i="4"/>
  <c r="W1015" i="4"/>
  <c r="W1016" i="4"/>
  <c r="W1017" i="4"/>
  <c r="W1018" i="4"/>
  <c r="W1019" i="4"/>
  <c r="W1020" i="4"/>
  <c r="W1021" i="4"/>
  <c r="W1022" i="4"/>
  <c r="W1023" i="4"/>
  <c r="W1024" i="4"/>
  <c r="W1025" i="4"/>
  <c r="W1026" i="4"/>
  <c r="W1027" i="4"/>
  <c r="W1028" i="4"/>
  <c r="W1029" i="4"/>
  <c r="W1030" i="4"/>
  <c r="W1031" i="4"/>
  <c r="W1032" i="4"/>
  <c r="W1033" i="4"/>
  <c r="W1034" i="4"/>
  <c r="W1035" i="4"/>
  <c r="W1036" i="4"/>
  <c r="W1037" i="4"/>
  <c r="W1038" i="4"/>
  <c r="W1039" i="4"/>
  <c r="W1040" i="4"/>
  <c r="W1041" i="4"/>
  <c r="W1042" i="4"/>
  <c r="W1043" i="4"/>
  <c r="W1044" i="4"/>
  <c r="W1045" i="4"/>
  <c r="W1046" i="4"/>
  <c r="W1047" i="4"/>
  <c r="W1048" i="4"/>
  <c r="W1049" i="4"/>
  <c r="W1050" i="4"/>
  <c r="W1051" i="4"/>
  <c r="W1052" i="4"/>
  <c r="W1053" i="4"/>
  <c r="W1054" i="4"/>
  <c r="W1055" i="4"/>
  <c r="W1056" i="4"/>
  <c r="W1057" i="4"/>
  <c r="W1058" i="4"/>
  <c r="W1059" i="4"/>
  <c r="W1060" i="4"/>
  <c r="W1061" i="4"/>
  <c r="W1062" i="4"/>
  <c r="W1063" i="4"/>
  <c r="W1064" i="4"/>
  <c r="W1065" i="4"/>
  <c r="W1066" i="4"/>
  <c r="W1067" i="4"/>
  <c r="W1068" i="4"/>
  <c r="W1069" i="4"/>
  <c r="W1070" i="4"/>
  <c r="W1071" i="4"/>
  <c r="W1072" i="4"/>
  <c r="W1073" i="4"/>
  <c r="W1074" i="4"/>
  <c r="W1075" i="4"/>
  <c r="W1076" i="4"/>
  <c r="W1077" i="4"/>
  <c r="W1078" i="4"/>
  <c r="W1079" i="4"/>
  <c r="W1080" i="4"/>
  <c r="W1081" i="4"/>
  <c r="W1082" i="4"/>
  <c r="W1083" i="4"/>
  <c r="W1084" i="4"/>
  <c r="W1085" i="4"/>
  <c r="W1086" i="4"/>
  <c r="W1087" i="4"/>
  <c r="W1088" i="4"/>
  <c r="W1089" i="4"/>
  <c r="W1090" i="4"/>
  <c r="W1091" i="4"/>
  <c r="W1092" i="4"/>
  <c r="W1093" i="4"/>
  <c r="W1094" i="4"/>
  <c r="W1095" i="4"/>
  <c r="W1096" i="4"/>
  <c r="W1097" i="4"/>
  <c r="W1098" i="4"/>
  <c r="W1099" i="4"/>
  <c r="W1100" i="4"/>
  <c r="W1101" i="4"/>
  <c r="W1102" i="4"/>
  <c r="W1103" i="4"/>
  <c r="W1104" i="4"/>
  <c r="W1105" i="4"/>
  <c r="W1106" i="4"/>
  <c r="W1107" i="4"/>
  <c r="W1108" i="4"/>
  <c r="W1109" i="4"/>
  <c r="W1110" i="4"/>
  <c r="W1111" i="4"/>
  <c r="W1112" i="4"/>
  <c r="W1113" i="4"/>
  <c r="W1114" i="4"/>
  <c r="W1115" i="4"/>
  <c r="W1116" i="4"/>
  <c r="W1117" i="4"/>
  <c r="W1118" i="4"/>
  <c r="W1119" i="4"/>
  <c r="W1120" i="4"/>
  <c r="W1121" i="4"/>
  <c r="W1122" i="4"/>
  <c r="W1123" i="4"/>
  <c r="W1124" i="4"/>
  <c r="W1125" i="4"/>
  <c r="W1126" i="4"/>
  <c r="W1127" i="4"/>
  <c r="W1128" i="4"/>
  <c r="W1129" i="4"/>
  <c r="W1130" i="4"/>
  <c r="W1131" i="4"/>
  <c r="W1132" i="4"/>
  <c r="W1133" i="4"/>
  <c r="W1134" i="4"/>
  <c r="W1135" i="4"/>
  <c r="W1136" i="4"/>
  <c r="W1137" i="4"/>
  <c r="W1138" i="4"/>
  <c r="W1139" i="4"/>
  <c r="W1140" i="4"/>
  <c r="W1141" i="4"/>
  <c r="W1142" i="4"/>
  <c r="W1143" i="4"/>
  <c r="W1144" i="4"/>
  <c r="W1145" i="4"/>
  <c r="W1146" i="4"/>
  <c r="W1147" i="4"/>
  <c r="W1148" i="4"/>
  <c r="W1149" i="4"/>
  <c r="W1150" i="4"/>
  <c r="W115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O33" i="4" s="1"/>
  <c r="J33" i="4" s="1"/>
  <c r="N29" i="4"/>
  <c r="N30" i="4"/>
  <c r="N31" i="4"/>
  <c r="O31" i="4" s="1"/>
  <c r="J31" i="4" s="1"/>
  <c r="N32" i="4"/>
  <c r="N33" i="4"/>
  <c r="N34" i="4"/>
  <c r="N35" i="4"/>
  <c r="O35" i="4" s="1"/>
  <c r="N36" i="4"/>
  <c r="N37" i="4"/>
  <c r="N38" i="4"/>
  <c r="N39" i="4"/>
  <c r="N40" i="4"/>
  <c r="N41" i="4"/>
  <c r="N42" i="4"/>
  <c r="N43" i="4"/>
  <c r="N44" i="4"/>
  <c r="N45" i="4"/>
  <c r="N46" i="4"/>
  <c r="N47" i="4"/>
  <c r="N48" i="4"/>
  <c r="N49" i="4"/>
  <c r="N50" i="4"/>
  <c r="N51" i="4"/>
  <c r="N52" i="4"/>
  <c r="N53" i="4"/>
  <c r="N54" i="4"/>
  <c r="N55" i="4"/>
  <c r="N56" i="4"/>
  <c r="N57" i="4"/>
  <c r="N58" i="4"/>
  <c r="N59" i="4"/>
  <c r="N60" i="4"/>
  <c r="N61" i="4"/>
  <c r="N62" i="4"/>
  <c r="N63" i="4"/>
  <c r="N64" i="4"/>
  <c r="N65" i="4"/>
  <c r="N66" i="4"/>
  <c r="N67" i="4"/>
  <c r="N68" i="4"/>
  <c r="N69" i="4"/>
  <c r="N70" i="4"/>
  <c r="N71" i="4"/>
  <c r="N72" i="4"/>
  <c r="N73" i="4"/>
  <c r="N74" i="4"/>
  <c r="N75" i="4"/>
  <c r="N76" i="4"/>
  <c r="N77" i="4"/>
  <c r="N78" i="4"/>
  <c r="N79" i="4"/>
  <c r="N80" i="4"/>
  <c r="N81" i="4"/>
  <c r="N82" i="4"/>
  <c r="N83" i="4"/>
  <c r="N84" i="4"/>
  <c r="N85" i="4"/>
  <c r="N86" i="4"/>
  <c r="N87" i="4"/>
  <c r="N88" i="4"/>
  <c r="N89" i="4"/>
  <c r="N90" i="4"/>
  <c r="N91" i="4"/>
  <c r="N92" i="4"/>
  <c r="N93" i="4"/>
  <c r="N94" i="4"/>
  <c r="N95" i="4"/>
  <c r="N96" i="4"/>
  <c r="N97" i="4"/>
  <c r="N98" i="4"/>
  <c r="N99" i="4"/>
  <c r="N100" i="4"/>
  <c r="N101" i="4"/>
  <c r="N102" i="4"/>
  <c r="N103" i="4"/>
  <c r="N104" i="4"/>
  <c r="N105" i="4"/>
  <c r="N106" i="4"/>
  <c r="N107" i="4"/>
  <c r="N108" i="4"/>
  <c r="N109" i="4"/>
  <c r="N110" i="4"/>
  <c r="N111" i="4"/>
  <c r="N112" i="4"/>
  <c r="N113" i="4"/>
  <c r="N114" i="4"/>
  <c r="N115" i="4"/>
  <c r="N116" i="4"/>
  <c r="N117" i="4"/>
  <c r="N118" i="4"/>
  <c r="N119" i="4"/>
  <c r="N120" i="4"/>
  <c r="N121" i="4"/>
  <c r="N122" i="4"/>
  <c r="N123" i="4"/>
  <c r="N124" i="4"/>
  <c r="N125" i="4"/>
  <c r="N126" i="4"/>
  <c r="N127" i="4"/>
  <c r="N128" i="4"/>
  <c r="N129" i="4"/>
  <c r="N130" i="4"/>
  <c r="N131" i="4"/>
  <c r="N132" i="4"/>
  <c r="N133" i="4"/>
  <c r="N134" i="4"/>
  <c r="N135" i="4"/>
  <c r="N136" i="4"/>
  <c r="N137" i="4"/>
  <c r="N138" i="4"/>
  <c r="N139" i="4"/>
  <c r="N140" i="4"/>
  <c r="N141" i="4"/>
  <c r="N142" i="4"/>
  <c r="N143" i="4"/>
  <c r="N144" i="4"/>
  <c r="N145" i="4"/>
  <c r="N146" i="4"/>
  <c r="N147" i="4"/>
  <c r="N148" i="4"/>
  <c r="N149" i="4"/>
  <c r="N150" i="4"/>
  <c r="N151" i="4"/>
  <c r="N152" i="4"/>
  <c r="N153" i="4"/>
  <c r="N154" i="4"/>
  <c r="N155" i="4"/>
  <c r="N156" i="4"/>
  <c r="O156" i="4" s="1"/>
  <c r="N157" i="4"/>
  <c r="N158" i="4"/>
  <c r="N159" i="4"/>
  <c r="N160" i="4"/>
  <c r="N161" i="4"/>
  <c r="O161" i="4" s="1"/>
  <c r="N162" i="4"/>
  <c r="N163" i="4"/>
  <c r="N164" i="4"/>
  <c r="N165" i="4"/>
  <c r="N166" i="4"/>
  <c r="N167" i="4"/>
  <c r="N168" i="4"/>
  <c r="N169" i="4"/>
  <c r="N170" i="4"/>
  <c r="N171" i="4"/>
  <c r="N172" i="4"/>
  <c r="N173" i="4"/>
  <c r="N174" i="4"/>
  <c r="N175" i="4"/>
  <c r="N176" i="4"/>
  <c r="N177" i="4"/>
  <c r="N178" i="4"/>
  <c r="N179" i="4"/>
  <c r="N180" i="4"/>
  <c r="N181" i="4"/>
  <c r="N182" i="4"/>
  <c r="N183" i="4"/>
  <c r="N184" i="4"/>
  <c r="N185" i="4"/>
  <c r="O185" i="4" s="1"/>
  <c r="N186" i="4"/>
  <c r="N187" i="4"/>
  <c r="N188" i="4"/>
  <c r="O188" i="4" s="1"/>
  <c r="N189" i="4"/>
  <c r="N190" i="4"/>
  <c r="N191" i="4"/>
  <c r="N192" i="4"/>
  <c r="N193" i="4"/>
  <c r="O193" i="4" s="1"/>
  <c r="N194" i="4"/>
  <c r="N195" i="4"/>
  <c r="N196" i="4"/>
  <c r="N197" i="4"/>
  <c r="N198" i="4"/>
  <c r="N199" i="4"/>
  <c r="N200" i="4"/>
  <c r="N201" i="4"/>
  <c r="N202" i="4"/>
  <c r="N203" i="4"/>
  <c r="N204" i="4"/>
  <c r="N205" i="4"/>
  <c r="N206" i="4"/>
  <c r="N207" i="4"/>
  <c r="N208" i="4"/>
  <c r="N209" i="4"/>
  <c r="N210" i="4"/>
  <c r="N211" i="4"/>
  <c r="N212" i="4"/>
  <c r="O212" i="4" s="1"/>
  <c r="N213" i="4"/>
  <c r="N214" i="4"/>
  <c r="N215" i="4"/>
  <c r="N216" i="4"/>
  <c r="N217" i="4"/>
  <c r="O217" i="4" s="1"/>
  <c r="N218" i="4"/>
  <c r="N219" i="4"/>
  <c r="N220" i="4"/>
  <c r="O220" i="4" s="1"/>
  <c r="N221" i="4"/>
  <c r="N222" i="4"/>
  <c r="N223" i="4"/>
  <c r="N224" i="4"/>
  <c r="N225" i="4"/>
  <c r="O225" i="4" s="1"/>
  <c r="N226" i="4"/>
  <c r="N227" i="4"/>
  <c r="N228" i="4"/>
  <c r="N229" i="4"/>
  <c r="N230" i="4"/>
  <c r="N231" i="4"/>
  <c r="N232" i="4"/>
  <c r="N233" i="4"/>
  <c r="N234" i="4"/>
  <c r="N235" i="4"/>
  <c r="N236" i="4"/>
  <c r="N237" i="4"/>
  <c r="N238" i="4"/>
  <c r="N239" i="4"/>
  <c r="N240" i="4"/>
  <c r="N241" i="4"/>
  <c r="N242" i="4"/>
  <c r="N243" i="4"/>
  <c r="N244" i="4"/>
  <c r="O244" i="4" s="1"/>
  <c r="N245" i="4"/>
  <c r="N246" i="4"/>
  <c r="N247" i="4"/>
  <c r="N248" i="4"/>
  <c r="N249" i="4"/>
  <c r="O249" i="4" s="1"/>
  <c r="N250" i="4"/>
  <c r="N251" i="4"/>
  <c r="N252" i="4"/>
  <c r="O252" i="4" s="1"/>
  <c r="N253" i="4"/>
  <c r="N254" i="4"/>
  <c r="N255" i="4"/>
  <c r="N256" i="4"/>
  <c r="N257" i="4"/>
  <c r="O257" i="4" s="1"/>
  <c r="N258" i="4"/>
  <c r="N259" i="4"/>
  <c r="N260" i="4"/>
  <c r="N261" i="4"/>
  <c r="N262" i="4"/>
  <c r="N263" i="4"/>
  <c r="N264" i="4"/>
  <c r="N265" i="4"/>
  <c r="N266" i="4"/>
  <c r="N267" i="4"/>
  <c r="N268" i="4"/>
  <c r="N269" i="4"/>
  <c r="N270" i="4"/>
  <c r="N271" i="4"/>
  <c r="N272" i="4"/>
  <c r="N273" i="4"/>
  <c r="N274" i="4"/>
  <c r="N275" i="4"/>
  <c r="N276" i="4"/>
  <c r="O276" i="4" s="1"/>
  <c r="N277" i="4"/>
  <c r="N278" i="4"/>
  <c r="N279" i="4"/>
  <c r="N280" i="4"/>
  <c r="N281" i="4"/>
  <c r="O281" i="4" s="1"/>
  <c r="N282" i="4"/>
  <c r="N283" i="4"/>
  <c r="N284" i="4"/>
  <c r="O284" i="4" s="1"/>
  <c r="N285" i="4"/>
  <c r="N286" i="4"/>
  <c r="N287" i="4"/>
  <c r="N288" i="4"/>
  <c r="N289" i="4"/>
  <c r="O289" i="4" s="1"/>
  <c r="N290" i="4"/>
  <c r="N291" i="4"/>
  <c r="N292" i="4"/>
  <c r="N293" i="4"/>
  <c r="N294" i="4"/>
  <c r="N295" i="4"/>
  <c r="N296" i="4"/>
  <c r="N297" i="4"/>
  <c r="N298" i="4"/>
  <c r="O298" i="4" s="1"/>
  <c r="N299" i="4"/>
  <c r="N300" i="4"/>
  <c r="N301" i="4"/>
  <c r="N302" i="4"/>
  <c r="N303" i="4"/>
  <c r="N304" i="4"/>
  <c r="N305" i="4"/>
  <c r="N306" i="4"/>
  <c r="O306" i="4" s="1"/>
  <c r="N307" i="4"/>
  <c r="N308" i="4"/>
  <c r="O308" i="4" s="1"/>
  <c r="N309" i="4"/>
  <c r="N310" i="4"/>
  <c r="N311" i="4"/>
  <c r="N312" i="4"/>
  <c r="N313" i="4"/>
  <c r="O313" i="4" s="1"/>
  <c r="N314" i="4"/>
  <c r="N315" i="4"/>
  <c r="N316" i="4"/>
  <c r="O316" i="4" s="1"/>
  <c r="N317" i="4"/>
  <c r="N318" i="4"/>
  <c r="N319" i="4"/>
  <c r="N320" i="4"/>
  <c r="N321" i="4"/>
  <c r="O321" i="4" s="1"/>
  <c r="N322" i="4"/>
  <c r="N323" i="4"/>
  <c r="N324" i="4"/>
  <c r="N325" i="4"/>
  <c r="N326" i="4"/>
  <c r="N327" i="4"/>
  <c r="N328" i="4"/>
  <c r="N329" i="4"/>
  <c r="N330" i="4"/>
  <c r="O330" i="4" s="1"/>
  <c r="N331" i="4"/>
  <c r="N332" i="4"/>
  <c r="N333" i="4"/>
  <c r="N334" i="4"/>
  <c r="N335" i="4"/>
  <c r="N336" i="4"/>
  <c r="N337" i="4"/>
  <c r="N338" i="4"/>
  <c r="O338" i="4" s="1"/>
  <c r="N339" i="4"/>
  <c r="N340" i="4"/>
  <c r="O340" i="4" s="1"/>
  <c r="N341" i="4"/>
  <c r="N342" i="4"/>
  <c r="N343" i="4"/>
  <c r="N344" i="4"/>
  <c r="N345" i="4"/>
  <c r="O345" i="4" s="1"/>
  <c r="N346" i="4"/>
  <c r="N347" i="4"/>
  <c r="N348" i="4"/>
  <c r="O348" i="4" s="1"/>
  <c r="N349" i="4"/>
  <c r="N350" i="4"/>
  <c r="N351" i="4"/>
  <c r="N352" i="4"/>
  <c r="N353" i="4"/>
  <c r="O353" i="4" s="1"/>
  <c r="N354" i="4"/>
  <c r="N355" i="4"/>
  <c r="N356" i="4"/>
  <c r="N357" i="4"/>
  <c r="N358" i="4"/>
  <c r="N359" i="4"/>
  <c r="N360" i="4"/>
  <c r="N361" i="4"/>
  <c r="N362" i="4"/>
  <c r="O362" i="4" s="1"/>
  <c r="N363" i="4"/>
  <c r="N364" i="4"/>
  <c r="N365" i="4"/>
  <c r="N366" i="4"/>
  <c r="N367" i="4"/>
  <c r="N368" i="4"/>
  <c r="N369" i="4"/>
  <c r="N370" i="4"/>
  <c r="O370" i="4" s="1"/>
  <c r="N371" i="4"/>
  <c r="N372" i="4"/>
  <c r="O372" i="4" s="1"/>
  <c r="N373" i="4"/>
  <c r="N374" i="4"/>
  <c r="N375" i="4"/>
  <c r="N376" i="4"/>
  <c r="N377" i="4"/>
  <c r="O377" i="4" s="1"/>
  <c r="N378" i="4"/>
  <c r="N379" i="4"/>
  <c r="N380" i="4"/>
  <c r="O380" i="4" s="1"/>
  <c r="N381" i="4"/>
  <c r="N382" i="4"/>
  <c r="N383" i="4"/>
  <c r="N384" i="4"/>
  <c r="N385" i="4"/>
  <c r="O385" i="4" s="1"/>
  <c r="N386" i="4"/>
  <c r="N387" i="4"/>
  <c r="N388" i="4"/>
  <c r="O388" i="4" s="1"/>
  <c r="N389" i="4"/>
  <c r="N390" i="4"/>
  <c r="N391" i="4"/>
  <c r="N392" i="4"/>
  <c r="N393" i="4"/>
  <c r="N394" i="4"/>
  <c r="N395" i="4"/>
  <c r="N396" i="4"/>
  <c r="O396" i="4" s="1"/>
  <c r="N397" i="4"/>
  <c r="N398" i="4"/>
  <c r="N399" i="4"/>
  <c r="N400" i="4"/>
  <c r="N401" i="4"/>
  <c r="O401" i="4" s="1"/>
  <c r="N402" i="4"/>
  <c r="N403" i="4"/>
  <c r="N404" i="4"/>
  <c r="N405" i="4"/>
  <c r="N406" i="4"/>
  <c r="N407" i="4"/>
  <c r="N408" i="4"/>
  <c r="N409" i="4"/>
  <c r="O409" i="4" s="1"/>
  <c r="N410" i="4"/>
  <c r="O410" i="4" s="1"/>
  <c r="N411" i="4"/>
  <c r="N412" i="4"/>
  <c r="N413" i="4"/>
  <c r="N414" i="4"/>
  <c r="N415" i="4"/>
  <c r="N416" i="4"/>
  <c r="N417" i="4"/>
  <c r="N418" i="4"/>
  <c r="O418" i="4" s="1"/>
  <c r="N419" i="4"/>
  <c r="N420" i="4"/>
  <c r="O420" i="4" s="1"/>
  <c r="N421" i="4"/>
  <c r="N422" i="4"/>
  <c r="N423" i="4"/>
  <c r="N424" i="4"/>
  <c r="N425" i="4"/>
  <c r="N426" i="4"/>
  <c r="N427" i="4"/>
  <c r="N428" i="4"/>
  <c r="N429" i="4"/>
  <c r="N430" i="4"/>
  <c r="N431" i="4"/>
  <c r="N432" i="4"/>
  <c r="N433" i="4"/>
  <c r="N434" i="4"/>
  <c r="O434" i="4" s="1"/>
  <c r="N435" i="4"/>
  <c r="N436" i="4"/>
  <c r="N437" i="4"/>
  <c r="N438" i="4"/>
  <c r="N439" i="4"/>
  <c r="O439" i="4" s="1"/>
  <c r="N440" i="4"/>
  <c r="N441" i="4"/>
  <c r="N442" i="4"/>
  <c r="O442" i="4" s="1"/>
  <c r="N443" i="4"/>
  <c r="N444" i="4"/>
  <c r="O444" i="4" s="1"/>
  <c r="N445" i="4"/>
  <c r="N446" i="4"/>
  <c r="N447" i="4"/>
  <c r="O447" i="4" s="1"/>
  <c r="N448" i="4"/>
  <c r="N449" i="4"/>
  <c r="O449" i="4" s="1"/>
  <c r="N450" i="4"/>
  <c r="N451" i="4"/>
  <c r="N452" i="4"/>
  <c r="O452" i="4" s="1"/>
  <c r="N453" i="4"/>
  <c r="N454" i="4"/>
  <c r="N455" i="4"/>
  <c r="N456" i="4"/>
  <c r="N457" i="4"/>
  <c r="O457" i="4" s="1"/>
  <c r="N458" i="4"/>
  <c r="N459" i="4"/>
  <c r="N460" i="4"/>
  <c r="N461" i="4"/>
  <c r="N462" i="4"/>
  <c r="N463" i="4"/>
  <c r="N464" i="4"/>
  <c r="N465" i="4"/>
  <c r="N466" i="4"/>
  <c r="O466" i="4" s="1"/>
  <c r="N467" i="4"/>
  <c r="N468" i="4"/>
  <c r="N469" i="4"/>
  <c r="N470" i="4"/>
  <c r="N471" i="4"/>
  <c r="O471" i="4" s="1"/>
  <c r="N472" i="4"/>
  <c r="N473" i="4"/>
  <c r="N474" i="4"/>
  <c r="O474" i="4" s="1"/>
  <c r="N475" i="4"/>
  <c r="N476" i="4"/>
  <c r="O476" i="4" s="1"/>
  <c r="N477" i="4"/>
  <c r="N478" i="4"/>
  <c r="N479" i="4"/>
  <c r="O479" i="4" s="1"/>
  <c r="N480" i="4"/>
  <c r="N481" i="4"/>
  <c r="O481" i="4" s="1"/>
  <c r="N482" i="4"/>
  <c r="N483" i="4"/>
  <c r="N484" i="4"/>
  <c r="O484" i="4" s="1"/>
  <c r="N485" i="4"/>
  <c r="N486" i="4"/>
  <c r="N487" i="4"/>
  <c r="N488" i="4"/>
  <c r="N489" i="4"/>
  <c r="O489" i="4" s="1"/>
  <c r="N490" i="4"/>
  <c r="N491" i="4"/>
  <c r="N492" i="4"/>
  <c r="N493" i="4"/>
  <c r="N494" i="4"/>
  <c r="N495" i="4"/>
  <c r="N496" i="4"/>
  <c r="N497" i="4"/>
  <c r="N498" i="4"/>
  <c r="O498" i="4" s="1"/>
  <c r="N499" i="4"/>
  <c r="N500" i="4"/>
  <c r="N501" i="4"/>
  <c r="N502" i="4"/>
  <c r="N503" i="4"/>
  <c r="O503" i="4" s="1"/>
  <c r="N504" i="4"/>
  <c r="N505" i="4"/>
  <c r="N506" i="4"/>
  <c r="O506" i="4" s="1"/>
  <c r="N507" i="4"/>
  <c r="N508" i="4"/>
  <c r="O508" i="4" s="1"/>
  <c r="N509" i="4"/>
  <c r="N510" i="4"/>
  <c r="N511" i="4"/>
  <c r="O511" i="4" s="1"/>
  <c r="N512" i="4"/>
  <c r="N513" i="4"/>
  <c r="O513" i="4" s="1"/>
  <c r="N514" i="4"/>
  <c r="N515" i="4"/>
  <c r="N516" i="4"/>
  <c r="O516" i="4" s="1"/>
  <c r="N517" i="4"/>
  <c r="N518" i="4"/>
  <c r="N519" i="4"/>
  <c r="N520" i="4"/>
  <c r="N521" i="4"/>
  <c r="O521" i="4" s="1"/>
  <c r="N522" i="4"/>
  <c r="N523" i="4"/>
  <c r="N524" i="4"/>
  <c r="N525" i="4"/>
  <c r="N526" i="4"/>
  <c r="N527" i="4"/>
  <c r="N528" i="4"/>
  <c r="N529" i="4"/>
  <c r="N530" i="4"/>
  <c r="O530" i="4" s="1"/>
  <c r="N531" i="4"/>
  <c r="N532" i="4"/>
  <c r="N533" i="4"/>
  <c r="N534" i="4"/>
  <c r="N535" i="4"/>
  <c r="O535" i="4" s="1"/>
  <c r="N536" i="4"/>
  <c r="N537" i="4"/>
  <c r="N538" i="4"/>
  <c r="O538" i="4" s="1"/>
  <c r="N539" i="4"/>
  <c r="N540" i="4"/>
  <c r="O540" i="4" s="1"/>
  <c r="N541" i="4"/>
  <c r="N542" i="4"/>
  <c r="N543" i="4"/>
  <c r="O543" i="4" s="1"/>
  <c r="N544" i="4"/>
  <c r="N545" i="4"/>
  <c r="O545" i="4" s="1"/>
  <c r="N546" i="4"/>
  <c r="N547" i="4"/>
  <c r="N548" i="4"/>
  <c r="O548" i="4" s="1"/>
  <c r="N549" i="4"/>
  <c r="N550" i="4"/>
  <c r="N551" i="4"/>
  <c r="N552" i="4"/>
  <c r="N553" i="4"/>
  <c r="O553" i="4" s="1"/>
  <c r="N554" i="4"/>
  <c r="N555" i="4"/>
  <c r="N556" i="4"/>
  <c r="N557" i="4"/>
  <c r="N558" i="4"/>
  <c r="N559" i="4"/>
  <c r="N560" i="4"/>
  <c r="N561" i="4"/>
  <c r="N562" i="4"/>
  <c r="O562" i="4" s="1"/>
  <c r="N563" i="4"/>
  <c r="N564" i="4"/>
  <c r="N565" i="4"/>
  <c r="N566" i="4"/>
  <c r="N567" i="4"/>
  <c r="O567" i="4" s="1"/>
  <c r="N568" i="4"/>
  <c r="N569" i="4"/>
  <c r="N570" i="4"/>
  <c r="O570" i="4" s="1"/>
  <c r="N571" i="4"/>
  <c r="N572" i="4"/>
  <c r="O572" i="4" s="1"/>
  <c r="N573" i="4"/>
  <c r="N574" i="4"/>
  <c r="N575" i="4"/>
  <c r="O575" i="4" s="1"/>
  <c r="N576" i="4"/>
  <c r="N577" i="4"/>
  <c r="O577" i="4" s="1"/>
  <c r="N578" i="4"/>
  <c r="N579" i="4"/>
  <c r="N580" i="4"/>
  <c r="O580" i="4" s="1"/>
  <c r="N581" i="4"/>
  <c r="N582" i="4"/>
  <c r="N583" i="4"/>
  <c r="N584" i="4"/>
  <c r="N585" i="4"/>
  <c r="O585" i="4" s="1"/>
  <c r="N586" i="4"/>
  <c r="N587" i="4"/>
  <c r="N588" i="4"/>
  <c r="O588" i="4" s="1"/>
  <c r="N589" i="4"/>
  <c r="N590" i="4"/>
  <c r="N591" i="4"/>
  <c r="O591" i="4" s="1"/>
  <c r="N592" i="4"/>
  <c r="N593" i="4"/>
  <c r="N594" i="4"/>
  <c r="N595" i="4"/>
  <c r="N596" i="4"/>
  <c r="O596" i="4" s="1"/>
  <c r="N597" i="4"/>
  <c r="N598" i="4"/>
  <c r="N599" i="4"/>
  <c r="O599" i="4" s="1"/>
  <c r="N600" i="4"/>
  <c r="N601" i="4"/>
  <c r="O601" i="4" s="1"/>
  <c r="N602" i="4"/>
  <c r="N603" i="4"/>
  <c r="N604" i="4"/>
  <c r="N605" i="4"/>
  <c r="N606" i="4"/>
  <c r="N607" i="4"/>
  <c r="N608" i="4"/>
  <c r="N609" i="4"/>
  <c r="O609" i="4" s="1"/>
  <c r="N610" i="4"/>
  <c r="O610" i="4" s="1"/>
  <c r="N611" i="4"/>
  <c r="N612" i="4"/>
  <c r="N613" i="4"/>
  <c r="N614" i="4"/>
  <c r="N615" i="4"/>
  <c r="N616" i="4"/>
  <c r="N617" i="4"/>
  <c r="N618" i="4"/>
  <c r="O618" i="4" s="1"/>
  <c r="N619" i="4"/>
  <c r="N620" i="4"/>
  <c r="O620" i="4" s="1"/>
  <c r="N621" i="4"/>
  <c r="N622" i="4"/>
  <c r="N623" i="4"/>
  <c r="O623" i="4" s="1"/>
  <c r="N624" i="4"/>
  <c r="N625" i="4"/>
  <c r="N626" i="4"/>
  <c r="N627" i="4"/>
  <c r="N628" i="4"/>
  <c r="O628" i="4" s="1"/>
  <c r="N629" i="4"/>
  <c r="N630" i="4"/>
  <c r="N631" i="4"/>
  <c r="O631" i="4" s="1"/>
  <c r="N632" i="4"/>
  <c r="N633" i="4"/>
  <c r="O633" i="4" s="1"/>
  <c r="N634" i="4"/>
  <c r="N635" i="4"/>
  <c r="N636" i="4"/>
  <c r="N637" i="4"/>
  <c r="N638" i="4"/>
  <c r="N639" i="4"/>
  <c r="N640" i="4"/>
  <c r="N641" i="4"/>
  <c r="O641" i="4" s="1"/>
  <c r="N642" i="4"/>
  <c r="O642" i="4" s="1"/>
  <c r="N643" i="4"/>
  <c r="N644" i="4"/>
  <c r="N645" i="4"/>
  <c r="N646" i="4"/>
  <c r="N647" i="4"/>
  <c r="N648" i="4"/>
  <c r="N649" i="4"/>
  <c r="N650" i="4"/>
  <c r="O650" i="4" s="1"/>
  <c r="N651" i="4"/>
  <c r="N652" i="4"/>
  <c r="O652" i="4" s="1"/>
  <c r="N653" i="4"/>
  <c r="N654" i="4"/>
  <c r="N655" i="4"/>
  <c r="O655" i="4" s="1"/>
  <c r="N656" i="4"/>
  <c r="N657" i="4"/>
  <c r="N658" i="4"/>
  <c r="N659" i="4"/>
  <c r="N660" i="4"/>
  <c r="O660" i="4" s="1"/>
  <c r="N661" i="4"/>
  <c r="N662" i="4"/>
  <c r="N663" i="4"/>
  <c r="O663" i="4" s="1"/>
  <c r="N664" i="4"/>
  <c r="N665" i="4"/>
  <c r="O665" i="4" s="1"/>
  <c r="N666" i="4"/>
  <c r="N667" i="4"/>
  <c r="N668" i="4"/>
  <c r="N669" i="4"/>
  <c r="N670" i="4"/>
  <c r="N671" i="4"/>
  <c r="N672" i="4"/>
  <c r="N673" i="4"/>
  <c r="O673" i="4" s="1"/>
  <c r="N674" i="4"/>
  <c r="O674" i="4" s="1"/>
  <c r="N675" i="4"/>
  <c r="N676" i="4"/>
  <c r="N677" i="4"/>
  <c r="N678" i="4"/>
  <c r="N679" i="4"/>
  <c r="N680" i="4"/>
  <c r="N681" i="4"/>
  <c r="N682" i="4"/>
  <c r="O682" i="4" s="1"/>
  <c r="N683" i="4"/>
  <c r="N684" i="4"/>
  <c r="O684" i="4" s="1"/>
  <c r="N685" i="4"/>
  <c r="N686" i="4"/>
  <c r="N687" i="4"/>
  <c r="O687" i="4" s="1"/>
  <c r="N688" i="4"/>
  <c r="N689" i="4"/>
  <c r="N690" i="4"/>
  <c r="N691" i="4"/>
  <c r="N692" i="4"/>
  <c r="O692" i="4" s="1"/>
  <c r="N693" i="4"/>
  <c r="N694" i="4"/>
  <c r="N695" i="4"/>
  <c r="O695" i="4" s="1"/>
  <c r="N696" i="4"/>
  <c r="N697" i="4"/>
  <c r="O697" i="4" s="1"/>
  <c r="N698" i="4"/>
  <c r="N699" i="4"/>
  <c r="N700" i="4"/>
  <c r="N701" i="4"/>
  <c r="N702" i="4"/>
  <c r="N703" i="4"/>
  <c r="N704" i="4"/>
  <c r="N705" i="4"/>
  <c r="O705" i="4" s="1"/>
  <c r="N706" i="4"/>
  <c r="O706" i="4" s="1"/>
  <c r="N707" i="4"/>
  <c r="N708" i="4"/>
  <c r="N709" i="4"/>
  <c r="N710" i="4"/>
  <c r="N711" i="4"/>
  <c r="N712" i="4"/>
  <c r="N713" i="4"/>
  <c r="N714" i="4"/>
  <c r="O714" i="4" s="1"/>
  <c r="N715" i="4"/>
  <c r="N716" i="4"/>
  <c r="O716" i="4" s="1"/>
  <c r="N717" i="4"/>
  <c r="N718" i="4"/>
  <c r="N719" i="4"/>
  <c r="O719" i="4" s="1"/>
  <c r="N720" i="4"/>
  <c r="N721" i="4"/>
  <c r="N722" i="4"/>
  <c r="N723" i="4"/>
  <c r="N724" i="4"/>
  <c r="O724" i="4" s="1"/>
  <c r="N725" i="4"/>
  <c r="N726" i="4"/>
  <c r="N727" i="4"/>
  <c r="O727" i="4" s="1"/>
  <c r="N728" i="4"/>
  <c r="N729" i="4"/>
  <c r="O729" i="4" s="1"/>
  <c r="N730" i="4"/>
  <c r="N731" i="4"/>
  <c r="N732" i="4"/>
  <c r="N733" i="4"/>
  <c r="N734" i="4"/>
  <c r="N735" i="4"/>
  <c r="N736" i="4"/>
  <c r="N737" i="4"/>
  <c r="O737" i="4" s="1"/>
  <c r="N738" i="4"/>
  <c r="O738" i="4" s="1"/>
  <c r="N739" i="4"/>
  <c r="N740" i="4"/>
  <c r="N741" i="4"/>
  <c r="N742" i="4"/>
  <c r="N743" i="4"/>
  <c r="N744" i="4"/>
  <c r="N745" i="4"/>
  <c r="N746" i="4"/>
  <c r="O746" i="4" s="1"/>
  <c r="N747" i="4"/>
  <c r="N748" i="4"/>
  <c r="O748" i="4" s="1"/>
  <c r="N749" i="4"/>
  <c r="N750" i="4"/>
  <c r="N751" i="4"/>
  <c r="O751" i="4" s="1"/>
  <c r="N752" i="4"/>
  <c r="N753" i="4"/>
  <c r="N754" i="4"/>
  <c r="N755" i="4"/>
  <c r="N756" i="4"/>
  <c r="O756" i="4" s="1"/>
  <c r="N757" i="4"/>
  <c r="N758" i="4"/>
  <c r="N759" i="4"/>
  <c r="O759" i="4" s="1"/>
  <c r="N760" i="4"/>
  <c r="N761" i="4"/>
  <c r="O761" i="4" s="1"/>
  <c r="N762" i="4"/>
  <c r="N763" i="4"/>
  <c r="N764" i="4"/>
  <c r="N765" i="4"/>
  <c r="N766" i="4"/>
  <c r="N767" i="4"/>
  <c r="N768" i="4"/>
  <c r="N769" i="4"/>
  <c r="O769" i="4" s="1"/>
  <c r="N770" i="4"/>
  <c r="O770" i="4" s="1"/>
  <c r="N771" i="4"/>
  <c r="N772" i="4"/>
  <c r="N773" i="4"/>
  <c r="N774" i="4"/>
  <c r="N775" i="4"/>
  <c r="N776" i="4"/>
  <c r="N777" i="4"/>
  <c r="N778" i="4"/>
  <c r="O778" i="4" s="1"/>
  <c r="N779" i="4"/>
  <c r="N780" i="4"/>
  <c r="O780" i="4" s="1"/>
  <c r="N781" i="4"/>
  <c r="N782" i="4"/>
  <c r="N783" i="4"/>
  <c r="O783" i="4" s="1"/>
  <c r="N784" i="4"/>
  <c r="N785" i="4"/>
  <c r="N786" i="4"/>
  <c r="N787" i="4"/>
  <c r="N788" i="4"/>
  <c r="O788" i="4" s="1"/>
  <c r="N789" i="4"/>
  <c r="N790" i="4"/>
  <c r="N791" i="4"/>
  <c r="O791" i="4" s="1"/>
  <c r="N792" i="4"/>
  <c r="N793" i="4"/>
  <c r="O793" i="4" s="1"/>
  <c r="N794" i="4"/>
  <c r="N795" i="4"/>
  <c r="N796" i="4"/>
  <c r="N797" i="4"/>
  <c r="N798" i="4"/>
  <c r="N799" i="4"/>
  <c r="N800" i="4"/>
  <c r="N801" i="4"/>
  <c r="O801" i="4" s="1"/>
  <c r="N802" i="4"/>
  <c r="O802" i="4" s="1"/>
  <c r="N803" i="4"/>
  <c r="N804" i="4"/>
  <c r="N805" i="4"/>
  <c r="N806" i="4"/>
  <c r="N807" i="4"/>
  <c r="N808" i="4"/>
  <c r="N809" i="4"/>
  <c r="N810" i="4"/>
  <c r="O810" i="4" s="1"/>
  <c r="N811" i="4"/>
  <c r="N812" i="4"/>
  <c r="O812" i="4" s="1"/>
  <c r="N813" i="4"/>
  <c r="N814" i="4"/>
  <c r="N815" i="4"/>
  <c r="O815" i="4" s="1"/>
  <c r="N816" i="4"/>
  <c r="N817" i="4"/>
  <c r="N818" i="4"/>
  <c r="N819" i="4"/>
  <c r="N820" i="4"/>
  <c r="O820" i="4" s="1"/>
  <c r="N821" i="4"/>
  <c r="N822" i="4"/>
  <c r="N823" i="4"/>
  <c r="O823" i="4" s="1"/>
  <c r="N824" i="4"/>
  <c r="N825" i="4"/>
  <c r="O825" i="4" s="1"/>
  <c r="N826" i="4"/>
  <c r="N827" i="4"/>
  <c r="N828" i="4"/>
  <c r="N829" i="4"/>
  <c r="N830" i="4"/>
  <c r="N831" i="4"/>
  <c r="N832" i="4"/>
  <c r="N833" i="4"/>
  <c r="O833" i="4" s="1"/>
  <c r="N834" i="4"/>
  <c r="O834" i="4" s="1"/>
  <c r="N835" i="4"/>
  <c r="N836" i="4"/>
  <c r="N837" i="4"/>
  <c r="N838" i="4"/>
  <c r="N839" i="4"/>
  <c r="N840" i="4"/>
  <c r="N841" i="4"/>
  <c r="N842" i="4"/>
  <c r="O842" i="4" s="1"/>
  <c r="N843" i="4"/>
  <c r="N844" i="4"/>
  <c r="O844" i="4" s="1"/>
  <c r="N845" i="4"/>
  <c r="N846" i="4"/>
  <c r="N847" i="4"/>
  <c r="O847" i="4" s="1"/>
  <c r="N848" i="4"/>
  <c r="N849" i="4"/>
  <c r="N850" i="4"/>
  <c r="N851" i="4"/>
  <c r="N852" i="4"/>
  <c r="O852" i="4" s="1"/>
  <c r="N853" i="4"/>
  <c r="N854" i="4"/>
  <c r="N855" i="4"/>
  <c r="O855" i="4" s="1"/>
  <c r="N856" i="4"/>
  <c r="N857" i="4"/>
  <c r="O857" i="4" s="1"/>
  <c r="N858" i="4"/>
  <c r="N859" i="4"/>
  <c r="N860" i="4"/>
  <c r="N861" i="4"/>
  <c r="N862" i="4"/>
  <c r="N863" i="4"/>
  <c r="N864" i="4"/>
  <c r="N865" i="4"/>
  <c r="O865" i="4" s="1"/>
  <c r="N866" i="4"/>
  <c r="O866" i="4" s="1"/>
  <c r="N867" i="4"/>
  <c r="N868" i="4"/>
  <c r="N869" i="4"/>
  <c r="N870" i="4"/>
  <c r="N871" i="4"/>
  <c r="N872" i="4"/>
  <c r="N873" i="4"/>
  <c r="N874" i="4"/>
  <c r="O874" i="4" s="1"/>
  <c r="N875" i="4"/>
  <c r="N876" i="4"/>
  <c r="O876" i="4" s="1"/>
  <c r="N877" i="4"/>
  <c r="N878" i="4"/>
  <c r="N879" i="4"/>
  <c r="O879" i="4" s="1"/>
  <c r="N880" i="4"/>
  <c r="N881" i="4"/>
  <c r="N882" i="4"/>
  <c r="N883" i="4"/>
  <c r="N884" i="4"/>
  <c r="O884" i="4" s="1"/>
  <c r="N885" i="4"/>
  <c r="N886" i="4"/>
  <c r="N887" i="4"/>
  <c r="O887" i="4" s="1"/>
  <c r="N888" i="4"/>
  <c r="N889" i="4"/>
  <c r="O889" i="4" s="1"/>
  <c r="N890" i="4"/>
  <c r="N891" i="4"/>
  <c r="N892" i="4"/>
  <c r="N893" i="4"/>
  <c r="N894" i="4"/>
  <c r="N895" i="4"/>
  <c r="N896" i="4"/>
  <c r="N897" i="4"/>
  <c r="O897" i="4" s="1"/>
  <c r="N898" i="4"/>
  <c r="O898" i="4" s="1"/>
  <c r="N899" i="4"/>
  <c r="N900" i="4"/>
  <c r="N901" i="4"/>
  <c r="N902" i="4"/>
  <c r="N903" i="4"/>
  <c r="N904" i="4"/>
  <c r="N905" i="4"/>
  <c r="N906" i="4"/>
  <c r="O906" i="4" s="1"/>
  <c r="N907" i="4"/>
  <c r="N908" i="4"/>
  <c r="O908" i="4" s="1"/>
  <c r="N909" i="4"/>
  <c r="N910" i="4"/>
  <c r="N911" i="4"/>
  <c r="O911" i="4" s="1"/>
  <c r="N912" i="4"/>
  <c r="N913" i="4"/>
  <c r="N914" i="4"/>
  <c r="N915" i="4"/>
  <c r="N916" i="4"/>
  <c r="O916" i="4" s="1"/>
  <c r="N917" i="4"/>
  <c r="N918" i="4"/>
  <c r="N919" i="4"/>
  <c r="O919" i="4" s="1"/>
  <c r="N920" i="4"/>
  <c r="N921" i="4"/>
  <c r="O921" i="4" s="1"/>
  <c r="N922" i="4"/>
  <c r="N923" i="4"/>
  <c r="N924" i="4"/>
  <c r="N925" i="4"/>
  <c r="N926" i="4"/>
  <c r="N927" i="4"/>
  <c r="N928" i="4"/>
  <c r="N929" i="4"/>
  <c r="O929" i="4" s="1"/>
  <c r="N930" i="4"/>
  <c r="O930" i="4" s="1"/>
  <c r="N931" i="4"/>
  <c r="N932" i="4"/>
  <c r="N933" i="4"/>
  <c r="N934" i="4"/>
  <c r="N935" i="4"/>
  <c r="N936" i="4"/>
  <c r="N937" i="4"/>
  <c r="N938" i="4"/>
  <c r="O938" i="4" s="1"/>
  <c r="N939" i="4"/>
  <c r="N940" i="4"/>
  <c r="O940" i="4" s="1"/>
  <c r="N941" i="4"/>
  <c r="N942" i="4"/>
  <c r="N943" i="4"/>
  <c r="O943" i="4" s="1"/>
  <c r="N944" i="4"/>
  <c r="N945" i="4"/>
  <c r="N946" i="4"/>
  <c r="N947" i="4"/>
  <c r="N948" i="4"/>
  <c r="O948" i="4" s="1"/>
  <c r="N949" i="4"/>
  <c r="N950" i="4"/>
  <c r="N951" i="4"/>
  <c r="O951" i="4" s="1"/>
  <c r="N952" i="4"/>
  <c r="N953" i="4"/>
  <c r="O953" i="4" s="1"/>
  <c r="N954" i="4"/>
  <c r="N955" i="4"/>
  <c r="N956" i="4"/>
  <c r="N957" i="4"/>
  <c r="N958" i="4"/>
  <c r="N959" i="4"/>
  <c r="N960" i="4"/>
  <c r="N961" i="4"/>
  <c r="O961" i="4" s="1"/>
  <c r="N962" i="4"/>
  <c r="O962" i="4" s="1"/>
  <c r="N963" i="4"/>
  <c r="N964" i="4"/>
  <c r="N965" i="4"/>
  <c r="N966" i="4"/>
  <c r="N967" i="4"/>
  <c r="N968" i="4"/>
  <c r="N969" i="4"/>
  <c r="N970" i="4"/>
  <c r="O970" i="4" s="1"/>
  <c r="N971" i="4"/>
  <c r="N972" i="4"/>
  <c r="O972" i="4" s="1"/>
  <c r="N973" i="4"/>
  <c r="N974" i="4"/>
  <c r="N975" i="4"/>
  <c r="O975" i="4" s="1"/>
  <c r="N976" i="4"/>
  <c r="N977" i="4"/>
  <c r="N978" i="4"/>
  <c r="N979" i="4"/>
  <c r="N980" i="4"/>
  <c r="O980" i="4" s="1"/>
  <c r="N981" i="4"/>
  <c r="N982" i="4"/>
  <c r="N983" i="4"/>
  <c r="O983" i="4" s="1"/>
  <c r="N984" i="4"/>
  <c r="N985" i="4"/>
  <c r="O985" i="4" s="1"/>
  <c r="N986" i="4"/>
  <c r="N987" i="4"/>
  <c r="N988" i="4"/>
  <c r="N989" i="4"/>
  <c r="N990" i="4"/>
  <c r="N991" i="4"/>
  <c r="N992" i="4"/>
  <c r="N993" i="4"/>
  <c r="O993" i="4" s="1"/>
  <c r="N994" i="4"/>
  <c r="O994" i="4" s="1"/>
  <c r="N995" i="4"/>
  <c r="N996" i="4"/>
  <c r="O996" i="4" s="1"/>
  <c r="N997" i="4"/>
  <c r="N998" i="4"/>
  <c r="N999" i="4"/>
  <c r="N1000" i="4"/>
  <c r="N1001" i="4"/>
  <c r="N1002" i="4"/>
  <c r="O1002" i="4" s="1"/>
  <c r="N1003" i="4"/>
  <c r="N1004" i="4"/>
  <c r="O1004" i="4" s="1"/>
  <c r="N1005" i="4"/>
  <c r="N1006" i="4"/>
  <c r="N1007" i="4"/>
  <c r="O1007" i="4" s="1"/>
  <c r="N1008" i="4"/>
  <c r="N1009" i="4"/>
  <c r="N1010" i="4"/>
  <c r="N1011" i="4"/>
  <c r="N1012" i="4"/>
  <c r="O1012" i="4" s="1"/>
  <c r="N1013" i="4"/>
  <c r="N1014" i="4"/>
  <c r="N1015" i="4"/>
  <c r="O1015" i="4" s="1"/>
  <c r="N1016" i="4"/>
  <c r="N1017" i="4"/>
  <c r="O1017" i="4" s="1"/>
  <c r="N1018" i="4"/>
  <c r="N1019" i="4"/>
  <c r="N1020" i="4"/>
  <c r="N1021" i="4"/>
  <c r="N1022" i="4"/>
  <c r="N1023" i="4"/>
  <c r="N1024" i="4"/>
  <c r="N1025" i="4"/>
  <c r="O1025" i="4" s="1"/>
  <c r="N1026" i="4"/>
  <c r="O1026" i="4" s="1"/>
  <c r="N1027" i="4"/>
  <c r="N1028" i="4"/>
  <c r="O1028" i="4" s="1"/>
  <c r="N1029" i="4"/>
  <c r="N1030" i="4"/>
  <c r="N1031" i="4"/>
  <c r="N1032" i="4"/>
  <c r="N1033" i="4"/>
  <c r="N1034" i="4"/>
  <c r="O1034" i="4" s="1"/>
  <c r="N1035" i="4"/>
  <c r="N1036" i="4"/>
  <c r="O1036" i="4" s="1"/>
  <c r="N1037" i="4"/>
  <c r="N1038" i="4"/>
  <c r="N1039" i="4"/>
  <c r="O1039" i="4" s="1"/>
  <c r="N1040" i="4"/>
  <c r="N1041" i="4"/>
  <c r="N1042" i="4"/>
  <c r="N1043" i="4"/>
  <c r="N1044" i="4"/>
  <c r="O1044" i="4" s="1"/>
  <c r="N1045" i="4"/>
  <c r="N1046" i="4"/>
  <c r="N1047" i="4"/>
  <c r="O1047" i="4" s="1"/>
  <c r="N1048" i="4"/>
  <c r="N1049" i="4"/>
  <c r="O1049" i="4" s="1"/>
  <c r="N1050" i="4"/>
  <c r="N1051" i="4"/>
  <c r="N1052" i="4"/>
  <c r="N1053" i="4"/>
  <c r="N1054" i="4"/>
  <c r="N1055" i="4"/>
  <c r="N1056" i="4"/>
  <c r="N1057" i="4"/>
  <c r="O1057" i="4" s="1"/>
  <c r="N1058" i="4"/>
  <c r="O1058" i="4" s="1"/>
  <c r="N1059" i="4"/>
  <c r="N1060" i="4"/>
  <c r="O1060" i="4" s="1"/>
  <c r="N1061" i="4"/>
  <c r="N1062" i="4"/>
  <c r="N1063" i="4"/>
  <c r="N1064" i="4"/>
  <c r="N1065" i="4"/>
  <c r="N1066" i="4"/>
  <c r="O1066" i="4" s="1"/>
  <c r="N1067" i="4"/>
  <c r="N1068" i="4"/>
  <c r="O1068" i="4" s="1"/>
  <c r="N1069" i="4"/>
  <c r="N1070" i="4"/>
  <c r="N1071" i="4"/>
  <c r="O1071" i="4" s="1"/>
  <c r="N1072" i="4"/>
  <c r="N1073" i="4"/>
  <c r="N1074" i="4"/>
  <c r="N1075" i="4"/>
  <c r="N1076" i="4"/>
  <c r="O1076" i="4" s="1"/>
  <c r="N1077" i="4"/>
  <c r="N1078" i="4"/>
  <c r="N1079" i="4"/>
  <c r="O1079" i="4" s="1"/>
  <c r="N1080" i="4"/>
  <c r="N1081" i="4"/>
  <c r="O1081" i="4" s="1"/>
  <c r="N1082" i="4"/>
  <c r="N1083" i="4"/>
  <c r="N1084" i="4"/>
  <c r="N1085" i="4"/>
  <c r="N1086" i="4"/>
  <c r="N1087" i="4"/>
  <c r="N1088" i="4"/>
  <c r="N1089" i="4"/>
  <c r="O1089" i="4" s="1"/>
  <c r="N1090" i="4"/>
  <c r="O1090" i="4" s="1"/>
  <c r="N1091" i="4"/>
  <c r="N1092" i="4"/>
  <c r="O1092" i="4" s="1"/>
  <c r="N1093" i="4"/>
  <c r="N1094" i="4"/>
  <c r="N1095" i="4"/>
  <c r="N1096" i="4"/>
  <c r="N1097" i="4"/>
  <c r="N1098" i="4"/>
  <c r="O1098" i="4" s="1"/>
  <c r="N1099" i="4"/>
  <c r="N1100" i="4"/>
  <c r="O1100" i="4" s="1"/>
  <c r="N1101" i="4"/>
  <c r="N1102" i="4"/>
  <c r="N1103" i="4"/>
  <c r="O1103" i="4" s="1"/>
  <c r="N1104" i="4"/>
  <c r="N1105" i="4"/>
  <c r="N1106" i="4"/>
  <c r="N1107" i="4"/>
  <c r="N1108" i="4"/>
  <c r="O1108" i="4" s="1"/>
  <c r="N1109" i="4"/>
  <c r="N1110" i="4"/>
  <c r="N1111" i="4"/>
  <c r="O1111" i="4" s="1"/>
  <c r="N1112" i="4"/>
  <c r="N1113" i="4"/>
  <c r="O1113" i="4" s="1"/>
  <c r="N1114" i="4"/>
  <c r="N1115" i="4"/>
  <c r="N1116" i="4"/>
  <c r="N1117" i="4"/>
  <c r="N1118" i="4"/>
  <c r="N1119" i="4"/>
  <c r="N1120" i="4"/>
  <c r="N1121" i="4"/>
  <c r="O1121" i="4" s="1"/>
  <c r="N1122" i="4"/>
  <c r="O1122" i="4" s="1"/>
  <c r="N1123" i="4"/>
  <c r="N1124" i="4"/>
  <c r="O1124" i="4" s="1"/>
  <c r="N1125" i="4"/>
  <c r="N1126" i="4"/>
  <c r="N1127" i="4"/>
  <c r="N1128" i="4"/>
  <c r="N1129" i="4"/>
  <c r="N1130" i="4"/>
  <c r="O1130" i="4" s="1"/>
  <c r="N1131" i="4"/>
  <c r="N1132" i="4"/>
  <c r="O1132" i="4" s="1"/>
  <c r="N1133" i="4"/>
  <c r="N1134" i="4"/>
  <c r="N1135" i="4"/>
  <c r="O1135" i="4" s="1"/>
  <c r="N1136" i="4"/>
  <c r="N1137" i="4"/>
  <c r="N1138" i="4"/>
  <c r="N1139" i="4"/>
  <c r="N1140" i="4"/>
  <c r="O1140" i="4" s="1"/>
  <c r="N1141" i="4"/>
  <c r="N1142" i="4"/>
  <c r="N1143" i="4"/>
  <c r="O1143" i="4" s="1"/>
  <c r="N1144" i="4"/>
  <c r="N1145" i="4"/>
  <c r="O1145" i="4" s="1"/>
  <c r="N1146" i="4"/>
  <c r="N1147" i="4"/>
  <c r="N1148" i="4"/>
  <c r="N1149" i="4"/>
  <c r="N1150" i="4"/>
  <c r="N1151" i="4"/>
  <c r="O42" i="4"/>
  <c r="O43" i="4"/>
  <c r="O50" i="4"/>
  <c r="O51" i="4"/>
  <c r="O58" i="4"/>
  <c r="O59" i="4"/>
  <c r="O66" i="4"/>
  <c r="O67" i="4"/>
  <c r="O74" i="4"/>
  <c r="O75" i="4"/>
  <c r="O82" i="4"/>
  <c r="O83" i="4"/>
  <c r="O90" i="4"/>
  <c r="O91" i="4"/>
  <c r="O98" i="4"/>
  <c r="O99" i="4"/>
  <c r="O106" i="4"/>
  <c r="O107" i="4"/>
  <c r="O114" i="4"/>
  <c r="O115" i="4"/>
  <c r="O122" i="4"/>
  <c r="O123" i="4"/>
  <c r="O130" i="4"/>
  <c r="O131" i="4"/>
  <c r="O138" i="4"/>
  <c r="O139" i="4"/>
  <c r="O146" i="4"/>
  <c r="O147" i="4"/>
  <c r="O154" i="4"/>
  <c r="O155" i="4"/>
  <c r="O162" i="4"/>
  <c r="O163" i="4"/>
  <c r="O170" i="4"/>
  <c r="O171" i="4"/>
  <c r="O178" i="4"/>
  <c r="O179" i="4"/>
  <c r="O186" i="4"/>
  <c r="O187" i="4"/>
  <c r="O194" i="4"/>
  <c r="O195" i="4"/>
  <c r="O202" i="4"/>
  <c r="O203" i="4"/>
  <c r="O210" i="4"/>
  <c r="O211" i="4"/>
  <c r="O218" i="4"/>
  <c r="O219" i="4"/>
  <c r="O226" i="4"/>
  <c r="O227" i="4"/>
  <c r="O234" i="4"/>
  <c r="O235" i="4"/>
  <c r="O242" i="4"/>
  <c r="O243" i="4"/>
  <c r="O250" i="4"/>
  <c r="O251" i="4"/>
  <c r="O258" i="4"/>
  <c r="O259" i="4"/>
  <c r="O266" i="4"/>
  <c r="O267" i="4"/>
  <c r="O274" i="4"/>
  <c r="O275" i="4"/>
  <c r="O282" i="4"/>
  <c r="O283" i="4"/>
  <c r="O290" i="4"/>
  <c r="O291" i="4"/>
  <c r="O299" i="4"/>
  <c r="O307" i="4"/>
  <c r="O314" i="4"/>
  <c r="O315" i="4"/>
  <c r="O322" i="4"/>
  <c r="O323" i="4"/>
  <c r="O331" i="4"/>
  <c r="O339" i="4"/>
  <c r="O346" i="4"/>
  <c r="O347" i="4"/>
  <c r="O354" i="4"/>
  <c r="O355" i="4"/>
  <c r="O363" i="4"/>
  <c r="O371" i="4"/>
  <c r="O378" i="4"/>
  <c r="O379" i="4"/>
  <c r="O386" i="4"/>
  <c r="O394" i="4"/>
  <c r="O395" i="4"/>
  <c r="O402" i="4"/>
  <c r="O403" i="4"/>
  <c r="O411" i="4"/>
  <c r="O419" i="4"/>
  <c r="O426" i="4"/>
  <c r="O435" i="4"/>
  <c r="O443" i="4"/>
  <c r="O450" i="4"/>
  <c r="O451" i="4"/>
  <c r="O458" i="4"/>
  <c r="O459" i="4"/>
  <c r="O467" i="4"/>
  <c r="O475" i="4"/>
  <c r="O482" i="4"/>
  <c r="O483" i="4"/>
  <c r="O490" i="4"/>
  <c r="O491" i="4"/>
  <c r="O499" i="4"/>
  <c r="O507" i="4"/>
  <c r="O514" i="4"/>
  <c r="O515" i="4"/>
  <c r="O522" i="4"/>
  <c r="O523" i="4"/>
  <c r="O531" i="4"/>
  <c r="O539" i="4"/>
  <c r="O546" i="4"/>
  <c r="O547" i="4"/>
  <c r="O554" i="4"/>
  <c r="O555" i="4"/>
  <c r="O563" i="4"/>
  <c r="O571" i="4"/>
  <c r="O578" i="4"/>
  <c r="O579" i="4"/>
  <c r="O586" i="4"/>
  <c r="O594" i="4"/>
  <c r="O595" i="4"/>
  <c r="O602" i="4"/>
  <c r="O603" i="4"/>
  <c r="O611" i="4"/>
  <c r="O619" i="4"/>
  <c r="O626" i="4"/>
  <c r="O627" i="4"/>
  <c r="O634" i="4"/>
  <c r="O635" i="4"/>
  <c r="O643" i="4"/>
  <c r="O651" i="4"/>
  <c r="O658" i="4"/>
  <c r="O659" i="4"/>
  <c r="O666" i="4"/>
  <c r="O667" i="4"/>
  <c r="O675" i="4"/>
  <c r="O683" i="4"/>
  <c r="O690" i="4"/>
  <c r="O691" i="4"/>
  <c r="O698" i="4"/>
  <c r="O699" i="4"/>
  <c r="O707" i="4"/>
  <c r="O715" i="4"/>
  <c r="O722" i="4"/>
  <c r="O723" i="4"/>
  <c r="O730" i="4"/>
  <c r="O731" i="4"/>
  <c r="O739" i="4"/>
  <c r="O747" i="4"/>
  <c r="O754" i="4"/>
  <c r="O755" i="4"/>
  <c r="O762" i="4"/>
  <c r="O763" i="4"/>
  <c r="O771" i="4"/>
  <c r="O779" i="4"/>
  <c r="O786" i="4"/>
  <c r="O787" i="4"/>
  <c r="O794" i="4"/>
  <c r="O795" i="4"/>
  <c r="O803" i="4"/>
  <c r="O811" i="4"/>
  <c r="O818" i="4"/>
  <c r="O819" i="4"/>
  <c r="O826" i="4"/>
  <c r="O827" i="4"/>
  <c r="O835" i="4"/>
  <c r="O843" i="4"/>
  <c r="O850" i="4"/>
  <c r="O851" i="4"/>
  <c r="O858" i="4"/>
  <c r="O859" i="4"/>
  <c r="O867" i="4"/>
  <c r="O875" i="4"/>
  <c r="O882" i="4"/>
  <c r="O883" i="4"/>
  <c r="O890" i="4"/>
  <c r="O891" i="4"/>
  <c r="O899" i="4"/>
  <c r="O907" i="4"/>
  <c r="O914" i="4"/>
  <c r="O915" i="4"/>
  <c r="O922" i="4"/>
  <c r="O923" i="4"/>
  <c r="O931" i="4"/>
  <c r="O939" i="4"/>
  <c r="O946" i="4"/>
  <c r="O947" i="4"/>
  <c r="O954" i="4"/>
  <c r="O955" i="4"/>
  <c r="O963" i="4"/>
  <c r="O971" i="4"/>
  <c r="O978" i="4"/>
  <c r="O979" i="4"/>
  <c r="O986" i="4"/>
  <c r="O987" i="4"/>
  <c r="O995" i="4"/>
  <c r="O1003" i="4"/>
  <c r="O1010" i="4"/>
  <c r="O1011" i="4"/>
  <c r="O1018" i="4"/>
  <c r="O1019" i="4"/>
  <c r="O1027" i="4"/>
  <c r="O1035" i="4"/>
  <c r="O1042" i="4"/>
  <c r="O1043" i="4"/>
  <c r="O1050" i="4"/>
  <c r="O1051" i="4"/>
  <c r="O1059" i="4"/>
  <c r="O1067" i="4"/>
  <c r="O1074" i="4"/>
  <c r="O1075" i="4"/>
  <c r="O1082" i="4"/>
  <c r="O1083" i="4"/>
  <c r="O1091" i="4"/>
  <c r="O1099" i="4"/>
  <c r="O1106" i="4"/>
  <c r="O1107" i="4"/>
  <c r="O1114" i="4"/>
  <c r="O1115" i="4"/>
  <c r="O1123" i="4"/>
  <c r="O1131" i="4"/>
  <c r="O1138" i="4"/>
  <c r="O1139" i="4"/>
  <c r="O1146" i="4"/>
  <c r="O1147" i="4"/>
  <c r="O32" i="4"/>
  <c r="J32" i="4" s="1"/>
  <c r="O36" i="4"/>
  <c r="O37" i="4"/>
  <c r="O38" i="4"/>
  <c r="O39" i="4"/>
  <c r="O40" i="4"/>
  <c r="O41" i="4"/>
  <c r="O44" i="4"/>
  <c r="O45" i="4"/>
  <c r="O46" i="4"/>
  <c r="O47" i="4"/>
  <c r="O48" i="4"/>
  <c r="O49" i="4"/>
  <c r="O52" i="4"/>
  <c r="O53" i="4"/>
  <c r="O54" i="4"/>
  <c r="O55" i="4"/>
  <c r="O56" i="4"/>
  <c r="O57" i="4"/>
  <c r="O60" i="4"/>
  <c r="O61" i="4"/>
  <c r="O62" i="4"/>
  <c r="O63" i="4"/>
  <c r="O64" i="4"/>
  <c r="O65" i="4"/>
  <c r="O68" i="4"/>
  <c r="O69" i="4"/>
  <c r="O70" i="4"/>
  <c r="O71" i="4"/>
  <c r="O72" i="4"/>
  <c r="O73" i="4"/>
  <c r="O76" i="4"/>
  <c r="O77" i="4"/>
  <c r="O78" i="4"/>
  <c r="O79" i="4"/>
  <c r="O80" i="4"/>
  <c r="O81" i="4"/>
  <c r="O84" i="4"/>
  <c r="O85" i="4"/>
  <c r="O86" i="4"/>
  <c r="O87" i="4"/>
  <c r="O88" i="4"/>
  <c r="O89" i="4"/>
  <c r="O92" i="4"/>
  <c r="O93" i="4"/>
  <c r="O94" i="4"/>
  <c r="O95" i="4"/>
  <c r="O96" i="4"/>
  <c r="O97" i="4"/>
  <c r="O100" i="4"/>
  <c r="O101" i="4"/>
  <c r="O102" i="4"/>
  <c r="O103" i="4"/>
  <c r="O104" i="4"/>
  <c r="O105" i="4"/>
  <c r="O108" i="4"/>
  <c r="O109" i="4"/>
  <c r="O110" i="4"/>
  <c r="O111" i="4"/>
  <c r="O112" i="4"/>
  <c r="O113" i="4"/>
  <c r="O116" i="4"/>
  <c r="O117" i="4"/>
  <c r="O118" i="4"/>
  <c r="O119" i="4"/>
  <c r="O120" i="4"/>
  <c r="O121" i="4"/>
  <c r="O124" i="4"/>
  <c r="O125" i="4"/>
  <c r="O126" i="4"/>
  <c r="O127" i="4"/>
  <c r="O128" i="4"/>
  <c r="O129" i="4"/>
  <c r="O132" i="4"/>
  <c r="O133" i="4"/>
  <c r="O134" i="4"/>
  <c r="O135" i="4"/>
  <c r="O136" i="4"/>
  <c r="O137" i="4"/>
  <c r="O140" i="4"/>
  <c r="O141" i="4"/>
  <c r="O142" i="4"/>
  <c r="O143" i="4"/>
  <c r="O144" i="4"/>
  <c r="O145" i="4"/>
  <c r="O148" i="4"/>
  <c r="O149" i="4"/>
  <c r="O150" i="4"/>
  <c r="O151" i="4"/>
  <c r="O152" i="4"/>
  <c r="O153" i="4"/>
  <c r="O157" i="4"/>
  <c r="O158" i="4"/>
  <c r="O159" i="4"/>
  <c r="O160" i="4"/>
  <c r="O164" i="4"/>
  <c r="O165" i="4"/>
  <c r="O166" i="4"/>
  <c r="O167" i="4"/>
  <c r="O168" i="4"/>
  <c r="O169" i="4"/>
  <c r="O172" i="4"/>
  <c r="O173" i="4"/>
  <c r="O174" i="4"/>
  <c r="O175" i="4"/>
  <c r="O176" i="4"/>
  <c r="O177" i="4"/>
  <c r="O180" i="4"/>
  <c r="O181" i="4"/>
  <c r="O182" i="4"/>
  <c r="O183" i="4"/>
  <c r="O184" i="4"/>
  <c r="O189" i="4"/>
  <c r="O190" i="4"/>
  <c r="O191" i="4"/>
  <c r="O192" i="4"/>
  <c r="O196" i="4"/>
  <c r="O197" i="4"/>
  <c r="O198" i="4"/>
  <c r="O199" i="4"/>
  <c r="O200" i="4"/>
  <c r="O201" i="4"/>
  <c r="O204" i="4"/>
  <c r="O205" i="4"/>
  <c r="O206" i="4"/>
  <c r="O207" i="4"/>
  <c r="O208" i="4"/>
  <c r="O209" i="4"/>
  <c r="O213" i="4"/>
  <c r="O214" i="4"/>
  <c r="O215" i="4"/>
  <c r="O216" i="4"/>
  <c r="O221" i="4"/>
  <c r="O222" i="4"/>
  <c r="O223" i="4"/>
  <c r="O224" i="4"/>
  <c r="O228" i="4"/>
  <c r="O229" i="4"/>
  <c r="O230" i="4"/>
  <c r="O231" i="4"/>
  <c r="O232" i="4"/>
  <c r="O233" i="4"/>
  <c r="O236" i="4"/>
  <c r="O237" i="4"/>
  <c r="O238" i="4"/>
  <c r="O239" i="4"/>
  <c r="O240" i="4"/>
  <c r="O241" i="4"/>
  <c r="O245" i="4"/>
  <c r="O246" i="4"/>
  <c r="O247" i="4"/>
  <c r="O248" i="4"/>
  <c r="O253" i="4"/>
  <c r="O254" i="4"/>
  <c r="O255" i="4"/>
  <c r="O256" i="4"/>
  <c r="O260" i="4"/>
  <c r="O261" i="4"/>
  <c r="O262" i="4"/>
  <c r="O263" i="4"/>
  <c r="O264" i="4"/>
  <c r="O265" i="4"/>
  <c r="O268" i="4"/>
  <c r="O269" i="4"/>
  <c r="O270" i="4"/>
  <c r="O271" i="4"/>
  <c r="O272" i="4"/>
  <c r="O273" i="4"/>
  <c r="O277" i="4"/>
  <c r="O278" i="4"/>
  <c r="O279" i="4"/>
  <c r="O280" i="4"/>
  <c r="O285" i="4"/>
  <c r="O286" i="4"/>
  <c r="O287" i="4"/>
  <c r="O288" i="4"/>
  <c r="O292" i="4"/>
  <c r="O293" i="4"/>
  <c r="O294" i="4"/>
  <c r="O295" i="4"/>
  <c r="O296" i="4"/>
  <c r="O297" i="4"/>
  <c r="O300" i="4"/>
  <c r="O301" i="4"/>
  <c r="O302" i="4"/>
  <c r="O303" i="4"/>
  <c r="O304" i="4"/>
  <c r="O305" i="4"/>
  <c r="O309" i="4"/>
  <c r="O310" i="4"/>
  <c r="O311" i="4"/>
  <c r="O312" i="4"/>
  <c r="O317" i="4"/>
  <c r="O318" i="4"/>
  <c r="O319" i="4"/>
  <c r="O320" i="4"/>
  <c r="O324" i="4"/>
  <c r="O325" i="4"/>
  <c r="O326" i="4"/>
  <c r="O327" i="4"/>
  <c r="O328" i="4"/>
  <c r="O329" i="4"/>
  <c r="O332" i="4"/>
  <c r="O333" i="4"/>
  <c r="O334" i="4"/>
  <c r="O335" i="4"/>
  <c r="O336" i="4"/>
  <c r="O337" i="4"/>
  <c r="O341" i="4"/>
  <c r="O342" i="4"/>
  <c r="O343" i="4"/>
  <c r="O344" i="4"/>
  <c r="O349" i="4"/>
  <c r="O350" i="4"/>
  <c r="O351" i="4"/>
  <c r="O352" i="4"/>
  <c r="O356" i="4"/>
  <c r="O357" i="4"/>
  <c r="O358" i="4"/>
  <c r="O359" i="4"/>
  <c r="O360" i="4"/>
  <c r="O361" i="4"/>
  <c r="O364" i="4"/>
  <c r="O365" i="4"/>
  <c r="O366" i="4"/>
  <c r="O367" i="4"/>
  <c r="O368" i="4"/>
  <c r="O369" i="4"/>
  <c r="O373" i="4"/>
  <c r="O374" i="4"/>
  <c r="O375" i="4"/>
  <c r="O376" i="4"/>
  <c r="O381" i="4"/>
  <c r="O382" i="4"/>
  <c r="O383" i="4"/>
  <c r="O384" i="4"/>
  <c r="O387" i="4"/>
  <c r="O389" i="4"/>
  <c r="O390" i="4"/>
  <c r="O391" i="4"/>
  <c r="O392" i="4"/>
  <c r="O393" i="4"/>
  <c r="O397" i="4"/>
  <c r="O398" i="4"/>
  <c r="O399" i="4"/>
  <c r="O400" i="4"/>
  <c r="O404" i="4"/>
  <c r="O405" i="4"/>
  <c r="O406" i="4"/>
  <c r="O407" i="4"/>
  <c r="O408" i="4"/>
  <c r="O412" i="4"/>
  <c r="O413" i="4"/>
  <c r="O414" i="4"/>
  <c r="O415" i="4"/>
  <c r="O416" i="4"/>
  <c r="O417" i="4"/>
  <c r="O421" i="4"/>
  <c r="O422" i="4"/>
  <c r="O423" i="4"/>
  <c r="O424" i="4"/>
  <c r="O425" i="4"/>
  <c r="O427" i="4"/>
  <c r="O428" i="4"/>
  <c r="O429" i="4"/>
  <c r="O430" i="4"/>
  <c r="O431" i="4"/>
  <c r="O432" i="4"/>
  <c r="O433" i="4"/>
  <c r="O436" i="4"/>
  <c r="O437" i="4"/>
  <c r="O438" i="4"/>
  <c r="O440" i="4"/>
  <c r="O441" i="4"/>
  <c r="O445" i="4"/>
  <c r="O446" i="4"/>
  <c r="O448" i="4"/>
  <c r="O453" i="4"/>
  <c r="O454" i="4"/>
  <c r="O455" i="4"/>
  <c r="O456" i="4"/>
  <c r="O460" i="4"/>
  <c r="O461" i="4"/>
  <c r="O462" i="4"/>
  <c r="O463" i="4"/>
  <c r="O464" i="4"/>
  <c r="O465" i="4"/>
  <c r="O468" i="4"/>
  <c r="O469" i="4"/>
  <c r="O470" i="4"/>
  <c r="O472" i="4"/>
  <c r="O473" i="4"/>
  <c r="O477" i="4"/>
  <c r="O478" i="4"/>
  <c r="O480" i="4"/>
  <c r="O485" i="4"/>
  <c r="O486" i="4"/>
  <c r="O487" i="4"/>
  <c r="O488" i="4"/>
  <c r="O492" i="4"/>
  <c r="O493" i="4"/>
  <c r="O494" i="4"/>
  <c r="O495" i="4"/>
  <c r="O496" i="4"/>
  <c r="O497" i="4"/>
  <c r="O500" i="4"/>
  <c r="O501" i="4"/>
  <c r="O502" i="4"/>
  <c r="O504" i="4"/>
  <c r="O505" i="4"/>
  <c r="O509" i="4"/>
  <c r="O510" i="4"/>
  <c r="O512" i="4"/>
  <c r="O517" i="4"/>
  <c r="O518" i="4"/>
  <c r="O519" i="4"/>
  <c r="O520" i="4"/>
  <c r="O524" i="4"/>
  <c r="O525" i="4"/>
  <c r="O526" i="4"/>
  <c r="O527" i="4"/>
  <c r="O528" i="4"/>
  <c r="O529" i="4"/>
  <c r="O532" i="4"/>
  <c r="O533" i="4"/>
  <c r="O534" i="4"/>
  <c r="O536" i="4"/>
  <c r="O537" i="4"/>
  <c r="O541" i="4"/>
  <c r="O542" i="4"/>
  <c r="O544" i="4"/>
  <c r="O549" i="4"/>
  <c r="O550" i="4"/>
  <c r="O551" i="4"/>
  <c r="O552" i="4"/>
  <c r="O556" i="4"/>
  <c r="O557" i="4"/>
  <c r="O558" i="4"/>
  <c r="O559" i="4"/>
  <c r="O560" i="4"/>
  <c r="O561" i="4"/>
  <c r="O564" i="4"/>
  <c r="O565" i="4"/>
  <c r="O566" i="4"/>
  <c r="O568" i="4"/>
  <c r="O569" i="4"/>
  <c r="O573" i="4"/>
  <c r="O574" i="4"/>
  <c r="O576" i="4"/>
  <c r="O581" i="4"/>
  <c r="O582" i="4"/>
  <c r="O583" i="4"/>
  <c r="O584" i="4"/>
  <c r="O587" i="4"/>
  <c r="O589" i="4"/>
  <c r="O590" i="4"/>
  <c r="O592" i="4"/>
  <c r="O593" i="4"/>
  <c r="O597" i="4"/>
  <c r="O598" i="4"/>
  <c r="O600" i="4"/>
  <c r="O604" i="4"/>
  <c r="O605" i="4"/>
  <c r="O606" i="4"/>
  <c r="O607" i="4"/>
  <c r="O608" i="4"/>
  <c r="O612" i="4"/>
  <c r="O613" i="4"/>
  <c r="O614" i="4"/>
  <c r="O615" i="4"/>
  <c r="O616" i="4"/>
  <c r="O617" i="4"/>
  <c r="O621" i="4"/>
  <c r="O622" i="4"/>
  <c r="O624" i="4"/>
  <c r="O625" i="4"/>
  <c r="O629" i="4"/>
  <c r="O630" i="4"/>
  <c r="O632" i="4"/>
  <c r="O636" i="4"/>
  <c r="O637" i="4"/>
  <c r="O638" i="4"/>
  <c r="O639" i="4"/>
  <c r="O640" i="4"/>
  <c r="O644" i="4"/>
  <c r="O645" i="4"/>
  <c r="O646" i="4"/>
  <c r="O647" i="4"/>
  <c r="O648" i="4"/>
  <c r="O649" i="4"/>
  <c r="O653" i="4"/>
  <c r="O654" i="4"/>
  <c r="O656" i="4"/>
  <c r="O657" i="4"/>
  <c r="O661" i="4"/>
  <c r="O662" i="4"/>
  <c r="O664" i="4"/>
  <c r="O668" i="4"/>
  <c r="O669" i="4"/>
  <c r="O670" i="4"/>
  <c r="O671" i="4"/>
  <c r="O672" i="4"/>
  <c r="O676" i="4"/>
  <c r="O677" i="4"/>
  <c r="O678" i="4"/>
  <c r="O679" i="4"/>
  <c r="O680" i="4"/>
  <c r="O681" i="4"/>
  <c r="O685" i="4"/>
  <c r="O686" i="4"/>
  <c r="O688" i="4"/>
  <c r="O689" i="4"/>
  <c r="O693" i="4"/>
  <c r="O694" i="4"/>
  <c r="O696" i="4"/>
  <c r="O700" i="4"/>
  <c r="O701" i="4"/>
  <c r="O702" i="4"/>
  <c r="O703" i="4"/>
  <c r="O704" i="4"/>
  <c r="O708" i="4"/>
  <c r="O709" i="4"/>
  <c r="O710" i="4"/>
  <c r="O711" i="4"/>
  <c r="O712" i="4"/>
  <c r="O713" i="4"/>
  <c r="O717" i="4"/>
  <c r="O718" i="4"/>
  <c r="O720" i="4"/>
  <c r="O721" i="4"/>
  <c r="O725" i="4"/>
  <c r="O726" i="4"/>
  <c r="O728" i="4"/>
  <c r="O732" i="4"/>
  <c r="O733" i="4"/>
  <c r="O734" i="4"/>
  <c r="O735" i="4"/>
  <c r="O736" i="4"/>
  <c r="O740" i="4"/>
  <c r="O741" i="4"/>
  <c r="O742" i="4"/>
  <c r="O743" i="4"/>
  <c r="O744" i="4"/>
  <c r="O745" i="4"/>
  <c r="O749" i="4"/>
  <c r="O750" i="4"/>
  <c r="O752" i="4"/>
  <c r="O753" i="4"/>
  <c r="O757" i="4"/>
  <c r="O758" i="4"/>
  <c r="O760" i="4"/>
  <c r="O764" i="4"/>
  <c r="O765" i="4"/>
  <c r="O766" i="4"/>
  <c r="O767" i="4"/>
  <c r="O768" i="4"/>
  <c r="O772" i="4"/>
  <c r="O773" i="4"/>
  <c r="O774" i="4"/>
  <c r="O775" i="4"/>
  <c r="O776" i="4"/>
  <c r="O777" i="4"/>
  <c r="O781" i="4"/>
  <c r="O782" i="4"/>
  <c r="O784" i="4"/>
  <c r="O785" i="4"/>
  <c r="O789" i="4"/>
  <c r="O790" i="4"/>
  <c r="O792" i="4"/>
  <c r="O796" i="4"/>
  <c r="O797" i="4"/>
  <c r="O798" i="4"/>
  <c r="O799" i="4"/>
  <c r="O800" i="4"/>
  <c r="O804" i="4"/>
  <c r="O805" i="4"/>
  <c r="O806" i="4"/>
  <c r="O807" i="4"/>
  <c r="O808" i="4"/>
  <c r="O809" i="4"/>
  <c r="O813" i="4"/>
  <c r="O814" i="4"/>
  <c r="O816" i="4"/>
  <c r="O817" i="4"/>
  <c r="O821" i="4"/>
  <c r="O822" i="4"/>
  <c r="O824" i="4"/>
  <c r="O828" i="4"/>
  <c r="O829" i="4"/>
  <c r="O830" i="4"/>
  <c r="O831" i="4"/>
  <c r="O832" i="4"/>
  <c r="O836" i="4"/>
  <c r="O837" i="4"/>
  <c r="O838" i="4"/>
  <c r="O839" i="4"/>
  <c r="O840" i="4"/>
  <c r="O841" i="4"/>
  <c r="O845" i="4"/>
  <c r="O846" i="4"/>
  <c r="O848" i="4"/>
  <c r="O849" i="4"/>
  <c r="O853" i="4"/>
  <c r="O854" i="4"/>
  <c r="O856" i="4"/>
  <c r="O860" i="4"/>
  <c r="O861" i="4"/>
  <c r="O862" i="4"/>
  <c r="O863" i="4"/>
  <c r="O864" i="4"/>
  <c r="O868" i="4"/>
  <c r="O869" i="4"/>
  <c r="O870" i="4"/>
  <c r="O871" i="4"/>
  <c r="O872" i="4"/>
  <c r="O873" i="4"/>
  <c r="O877" i="4"/>
  <c r="O878" i="4"/>
  <c r="O880" i="4"/>
  <c r="O881" i="4"/>
  <c r="O885" i="4"/>
  <c r="O886" i="4"/>
  <c r="O888" i="4"/>
  <c r="O892" i="4"/>
  <c r="O893" i="4"/>
  <c r="O894" i="4"/>
  <c r="O895" i="4"/>
  <c r="O896" i="4"/>
  <c r="O900" i="4"/>
  <c r="O901" i="4"/>
  <c r="O902" i="4"/>
  <c r="O903" i="4"/>
  <c r="O904" i="4"/>
  <c r="O905" i="4"/>
  <c r="O909" i="4"/>
  <c r="O910" i="4"/>
  <c r="O912" i="4"/>
  <c r="O913" i="4"/>
  <c r="O917" i="4"/>
  <c r="O918" i="4"/>
  <c r="O920" i="4"/>
  <c r="O924" i="4"/>
  <c r="O925" i="4"/>
  <c r="O926" i="4"/>
  <c r="O927" i="4"/>
  <c r="O928" i="4"/>
  <c r="O932" i="4"/>
  <c r="O933" i="4"/>
  <c r="O934" i="4"/>
  <c r="O935" i="4"/>
  <c r="O936" i="4"/>
  <c r="O937" i="4"/>
  <c r="O941" i="4"/>
  <c r="O942" i="4"/>
  <c r="O944" i="4"/>
  <c r="O945" i="4"/>
  <c r="O949" i="4"/>
  <c r="O950" i="4"/>
  <c r="O952" i="4"/>
  <c r="O956" i="4"/>
  <c r="O957" i="4"/>
  <c r="O958" i="4"/>
  <c r="O959" i="4"/>
  <c r="O960" i="4"/>
  <c r="O964" i="4"/>
  <c r="O965" i="4"/>
  <c r="O966" i="4"/>
  <c r="O967" i="4"/>
  <c r="O968" i="4"/>
  <c r="O969" i="4"/>
  <c r="O973" i="4"/>
  <c r="O974" i="4"/>
  <c r="O976" i="4"/>
  <c r="O977" i="4"/>
  <c r="O981" i="4"/>
  <c r="O982" i="4"/>
  <c r="O984" i="4"/>
  <c r="O988" i="4"/>
  <c r="O989" i="4"/>
  <c r="O990" i="4"/>
  <c r="O991" i="4"/>
  <c r="O992" i="4"/>
  <c r="O997" i="4"/>
  <c r="O998" i="4"/>
  <c r="O999" i="4"/>
  <c r="O1000" i="4"/>
  <c r="O1001" i="4"/>
  <c r="O1005" i="4"/>
  <c r="O1006" i="4"/>
  <c r="O1008" i="4"/>
  <c r="O1009" i="4"/>
  <c r="O1013" i="4"/>
  <c r="O1014" i="4"/>
  <c r="O1016" i="4"/>
  <c r="O1020" i="4"/>
  <c r="O1021" i="4"/>
  <c r="O1022" i="4"/>
  <c r="O1023" i="4"/>
  <c r="O1024" i="4"/>
  <c r="O1029" i="4"/>
  <c r="O1030" i="4"/>
  <c r="O1031" i="4"/>
  <c r="O1032" i="4"/>
  <c r="O1033" i="4"/>
  <c r="O1037" i="4"/>
  <c r="O1038" i="4"/>
  <c r="O1040" i="4"/>
  <c r="O1041" i="4"/>
  <c r="O1045" i="4"/>
  <c r="O1046" i="4"/>
  <c r="O1048" i="4"/>
  <c r="O1052" i="4"/>
  <c r="O1053" i="4"/>
  <c r="O1054" i="4"/>
  <c r="O1055" i="4"/>
  <c r="O1056" i="4"/>
  <c r="O1061" i="4"/>
  <c r="O1062" i="4"/>
  <c r="O1063" i="4"/>
  <c r="O1064" i="4"/>
  <c r="O1065" i="4"/>
  <c r="O1069" i="4"/>
  <c r="O1070" i="4"/>
  <c r="O1072" i="4"/>
  <c r="O1073" i="4"/>
  <c r="O1077" i="4"/>
  <c r="O1078" i="4"/>
  <c r="O1080" i="4"/>
  <c r="O1084" i="4"/>
  <c r="O1085" i="4"/>
  <c r="O1086" i="4"/>
  <c r="O1087" i="4"/>
  <c r="O1088" i="4"/>
  <c r="O1093" i="4"/>
  <c r="O1094" i="4"/>
  <c r="O1095" i="4"/>
  <c r="O1096" i="4"/>
  <c r="O1097" i="4"/>
  <c r="O1101" i="4"/>
  <c r="O1102" i="4"/>
  <c r="O1104" i="4"/>
  <c r="O1105" i="4"/>
  <c r="O1109" i="4"/>
  <c r="O1110" i="4"/>
  <c r="O1112" i="4"/>
  <c r="O1116" i="4"/>
  <c r="O1117" i="4"/>
  <c r="O1118" i="4"/>
  <c r="O1119" i="4"/>
  <c r="O1120" i="4"/>
  <c r="O1125" i="4"/>
  <c r="O1126" i="4"/>
  <c r="O1127" i="4"/>
  <c r="O1128" i="4"/>
  <c r="O1129" i="4"/>
  <c r="O1133" i="4"/>
  <c r="O1134" i="4"/>
  <c r="O1136" i="4"/>
  <c r="O1137" i="4"/>
  <c r="O1141" i="4"/>
  <c r="O1142" i="4"/>
  <c r="O1144" i="4"/>
  <c r="O1148" i="4"/>
  <c r="O1149" i="4"/>
  <c r="O1150" i="4"/>
  <c r="O1151" i="4"/>
  <c r="R12" i="4"/>
  <c r="R13" i="4"/>
  <c r="R14" i="4"/>
  <c r="R15" i="4"/>
  <c r="R16" i="4"/>
  <c r="R17" i="4"/>
  <c r="R18" i="4"/>
  <c r="R19" i="4"/>
  <c r="R20" i="4"/>
  <c r="R21" i="4"/>
  <c r="R22" i="4"/>
  <c r="R23" i="4"/>
  <c r="R24" i="4"/>
  <c r="R25" i="4"/>
  <c r="R26" i="4"/>
  <c r="R27" i="4"/>
  <c r="R28" i="4"/>
  <c r="R29" i="4"/>
  <c r="R30" i="4"/>
  <c r="R31" i="4"/>
  <c r="R32" i="4"/>
  <c r="R33" i="4"/>
  <c r="R34" i="4"/>
  <c r="R35" i="4"/>
  <c r="R36" i="4"/>
  <c r="R37" i="4"/>
  <c r="R38" i="4"/>
  <c r="R39" i="4"/>
  <c r="R40" i="4"/>
  <c r="R41" i="4"/>
  <c r="R42" i="4"/>
  <c r="R43" i="4"/>
  <c r="R44" i="4"/>
  <c r="R45" i="4"/>
  <c r="R46" i="4"/>
  <c r="R47" i="4"/>
  <c r="R48" i="4"/>
  <c r="R49" i="4"/>
  <c r="R50" i="4"/>
  <c r="R51" i="4"/>
  <c r="R52" i="4"/>
  <c r="R53" i="4"/>
  <c r="R54" i="4"/>
  <c r="R55" i="4"/>
  <c r="R56" i="4"/>
  <c r="R57" i="4"/>
  <c r="R58" i="4"/>
  <c r="R59" i="4"/>
  <c r="R60" i="4"/>
  <c r="R61" i="4"/>
  <c r="R62" i="4"/>
  <c r="R63" i="4"/>
  <c r="R64" i="4"/>
  <c r="R65" i="4"/>
  <c r="R66" i="4"/>
  <c r="R67" i="4"/>
  <c r="R68" i="4"/>
  <c r="R69" i="4"/>
  <c r="R70" i="4"/>
  <c r="R71" i="4"/>
  <c r="R72" i="4"/>
  <c r="R73" i="4"/>
  <c r="R74" i="4"/>
  <c r="R75" i="4"/>
  <c r="R76" i="4"/>
  <c r="R77" i="4"/>
  <c r="R78" i="4"/>
  <c r="R79" i="4"/>
  <c r="R80" i="4"/>
  <c r="R81" i="4"/>
  <c r="R82" i="4"/>
  <c r="R83" i="4"/>
  <c r="R84" i="4"/>
  <c r="R85" i="4"/>
  <c r="R86" i="4"/>
  <c r="R87" i="4"/>
  <c r="R88" i="4"/>
  <c r="R89" i="4"/>
  <c r="R90" i="4"/>
  <c r="R91" i="4"/>
  <c r="R92" i="4"/>
  <c r="R93" i="4"/>
  <c r="R94" i="4"/>
  <c r="R95" i="4"/>
  <c r="R96" i="4"/>
  <c r="R97" i="4"/>
  <c r="R98" i="4"/>
  <c r="R99" i="4"/>
  <c r="R100" i="4"/>
  <c r="R101" i="4"/>
  <c r="R102" i="4"/>
  <c r="R103" i="4"/>
  <c r="R104" i="4"/>
  <c r="R105" i="4"/>
  <c r="R106" i="4"/>
  <c r="R107" i="4"/>
  <c r="R108" i="4"/>
  <c r="R109" i="4"/>
  <c r="R110" i="4"/>
  <c r="R111" i="4"/>
  <c r="R112" i="4"/>
  <c r="R113" i="4"/>
  <c r="R114" i="4"/>
  <c r="R115" i="4"/>
  <c r="R116" i="4"/>
  <c r="R117" i="4"/>
  <c r="R118" i="4"/>
  <c r="R119" i="4"/>
  <c r="R120" i="4"/>
  <c r="R121" i="4"/>
  <c r="R122" i="4"/>
  <c r="R123" i="4"/>
  <c r="R124" i="4"/>
  <c r="R125" i="4"/>
  <c r="R126" i="4"/>
  <c r="R127" i="4"/>
  <c r="R128" i="4"/>
  <c r="R129" i="4"/>
  <c r="R130" i="4"/>
  <c r="R131" i="4"/>
  <c r="R132" i="4"/>
  <c r="R133" i="4"/>
  <c r="R134" i="4"/>
  <c r="R135" i="4"/>
  <c r="R136" i="4"/>
  <c r="R137" i="4"/>
  <c r="R138" i="4"/>
  <c r="R139" i="4"/>
  <c r="R140" i="4"/>
  <c r="R141" i="4"/>
  <c r="R142" i="4"/>
  <c r="R143" i="4"/>
  <c r="R144" i="4"/>
  <c r="R145" i="4"/>
  <c r="R146" i="4"/>
  <c r="R147" i="4"/>
  <c r="R148" i="4"/>
  <c r="R149" i="4"/>
  <c r="R150" i="4"/>
  <c r="R151" i="4"/>
  <c r="R152" i="4"/>
  <c r="R153" i="4"/>
  <c r="R154" i="4"/>
  <c r="R155" i="4"/>
  <c r="R156" i="4"/>
  <c r="R157" i="4"/>
  <c r="R158" i="4"/>
  <c r="R159" i="4"/>
  <c r="R160" i="4"/>
  <c r="R161" i="4"/>
  <c r="R162" i="4"/>
  <c r="R163" i="4"/>
  <c r="R164" i="4"/>
  <c r="R165" i="4"/>
  <c r="R166" i="4"/>
  <c r="R167" i="4"/>
  <c r="R168" i="4"/>
  <c r="R169" i="4"/>
  <c r="R170" i="4"/>
  <c r="R171" i="4"/>
  <c r="R172" i="4"/>
  <c r="R173" i="4"/>
  <c r="R174" i="4"/>
  <c r="R175" i="4"/>
  <c r="R176" i="4"/>
  <c r="R177" i="4"/>
  <c r="R178" i="4"/>
  <c r="R179" i="4"/>
  <c r="R180" i="4"/>
  <c r="R181" i="4"/>
  <c r="R182" i="4"/>
  <c r="R183" i="4"/>
  <c r="R184" i="4"/>
  <c r="R185" i="4"/>
  <c r="R186" i="4"/>
  <c r="R187" i="4"/>
  <c r="R188" i="4"/>
  <c r="R189" i="4"/>
  <c r="R190" i="4"/>
  <c r="R191" i="4"/>
  <c r="R192" i="4"/>
  <c r="R193" i="4"/>
  <c r="R194" i="4"/>
  <c r="R195" i="4"/>
  <c r="R196" i="4"/>
  <c r="R197" i="4"/>
  <c r="R198" i="4"/>
  <c r="R199" i="4"/>
  <c r="R200" i="4"/>
  <c r="R201" i="4"/>
  <c r="R202" i="4"/>
  <c r="R203" i="4"/>
  <c r="R204" i="4"/>
  <c r="R205" i="4"/>
  <c r="R206" i="4"/>
  <c r="R207" i="4"/>
  <c r="R208" i="4"/>
  <c r="R209" i="4"/>
  <c r="R210" i="4"/>
  <c r="R211" i="4"/>
  <c r="R212" i="4"/>
  <c r="R213" i="4"/>
  <c r="R214" i="4"/>
  <c r="R215" i="4"/>
  <c r="R216" i="4"/>
  <c r="R217" i="4"/>
  <c r="R218" i="4"/>
  <c r="R219" i="4"/>
  <c r="R220" i="4"/>
  <c r="R221" i="4"/>
  <c r="R222" i="4"/>
  <c r="R223" i="4"/>
  <c r="R224" i="4"/>
  <c r="R225" i="4"/>
  <c r="R226" i="4"/>
  <c r="R227" i="4"/>
  <c r="R228" i="4"/>
  <c r="R229" i="4"/>
  <c r="R230" i="4"/>
  <c r="R231" i="4"/>
  <c r="R232" i="4"/>
  <c r="R233" i="4"/>
  <c r="R234" i="4"/>
  <c r="R235" i="4"/>
  <c r="R236" i="4"/>
  <c r="R237" i="4"/>
  <c r="R238" i="4"/>
  <c r="R239" i="4"/>
  <c r="R240" i="4"/>
  <c r="R241" i="4"/>
  <c r="R242" i="4"/>
  <c r="R243" i="4"/>
  <c r="R244" i="4"/>
  <c r="R245" i="4"/>
  <c r="R246" i="4"/>
  <c r="R247" i="4"/>
  <c r="R248" i="4"/>
  <c r="R249" i="4"/>
  <c r="R250" i="4"/>
  <c r="R251" i="4"/>
  <c r="R252" i="4"/>
  <c r="R253" i="4"/>
  <c r="R254" i="4"/>
  <c r="R255" i="4"/>
  <c r="R256" i="4"/>
  <c r="R257" i="4"/>
  <c r="R258" i="4"/>
  <c r="R259" i="4"/>
  <c r="R260" i="4"/>
  <c r="R261" i="4"/>
  <c r="R262" i="4"/>
  <c r="R263" i="4"/>
  <c r="R264" i="4"/>
  <c r="R265" i="4"/>
  <c r="R266" i="4"/>
  <c r="R267" i="4"/>
  <c r="R268" i="4"/>
  <c r="R269" i="4"/>
  <c r="R270" i="4"/>
  <c r="R271" i="4"/>
  <c r="R272" i="4"/>
  <c r="R273" i="4"/>
  <c r="R274" i="4"/>
  <c r="R275" i="4"/>
  <c r="R276" i="4"/>
  <c r="R277" i="4"/>
  <c r="R278" i="4"/>
  <c r="R279" i="4"/>
  <c r="R280" i="4"/>
  <c r="R281" i="4"/>
  <c r="R282" i="4"/>
  <c r="R283" i="4"/>
  <c r="R284" i="4"/>
  <c r="R285" i="4"/>
  <c r="R286" i="4"/>
  <c r="R287" i="4"/>
  <c r="R288" i="4"/>
  <c r="R289" i="4"/>
  <c r="R290" i="4"/>
  <c r="R291" i="4"/>
  <c r="R292" i="4"/>
  <c r="R293" i="4"/>
  <c r="R294" i="4"/>
  <c r="R295" i="4"/>
  <c r="R296" i="4"/>
  <c r="R297" i="4"/>
  <c r="R298" i="4"/>
  <c r="R299" i="4"/>
  <c r="R300" i="4"/>
  <c r="R301" i="4"/>
  <c r="R302" i="4"/>
  <c r="R303" i="4"/>
  <c r="R304" i="4"/>
  <c r="R305" i="4"/>
  <c r="R306" i="4"/>
  <c r="R307" i="4"/>
  <c r="R308" i="4"/>
  <c r="R309" i="4"/>
  <c r="R310" i="4"/>
  <c r="R311" i="4"/>
  <c r="R312" i="4"/>
  <c r="R313" i="4"/>
  <c r="R314" i="4"/>
  <c r="R315" i="4"/>
  <c r="R316" i="4"/>
  <c r="R317" i="4"/>
  <c r="R318" i="4"/>
  <c r="R319" i="4"/>
  <c r="R320" i="4"/>
  <c r="R321" i="4"/>
  <c r="R322" i="4"/>
  <c r="R323" i="4"/>
  <c r="R324" i="4"/>
  <c r="R325" i="4"/>
  <c r="R326" i="4"/>
  <c r="R327" i="4"/>
  <c r="R328" i="4"/>
  <c r="R329" i="4"/>
  <c r="R330" i="4"/>
  <c r="R331" i="4"/>
  <c r="R332" i="4"/>
  <c r="R333" i="4"/>
  <c r="R334" i="4"/>
  <c r="R335" i="4"/>
  <c r="R336" i="4"/>
  <c r="R337" i="4"/>
  <c r="R338" i="4"/>
  <c r="R339" i="4"/>
  <c r="R340" i="4"/>
  <c r="R341" i="4"/>
  <c r="R342" i="4"/>
  <c r="R343" i="4"/>
  <c r="R344" i="4"/>
  <c r="R345" i="4"/>
  <c r="R346" i="4"/>
  <c r="R347" i="4"/>
  <c r="R348" i="4"/>
  <c r="R349" i="4"/>
  <c r="R350" i="4"/>
  <c r="R351" i="4"/>
  <c r="R352" i="4"/>
  <c r="R353" i="4"/>
  <c r="R354" i="4"/>
  <c r="R355" i="4"/>
  <c r="R356" i="4"/>
  <c r="R357" i="4"/>
  <c r="R358" i="4"/>
  <c r="R359" i="4"/>
  <c r="R360" i="4"/>
  <c r="R361" i="4"/>
  <c r="R362" i="4"/>
  <c r="R363" i="4"/>
  <c r="R364" i="4"/>
  <c r="R365" i="4"/>
  <c r="R366" i="4"/>
  <c r="R367" i="4"/>
  <c r="R368" i="4"/>
  <c r="R369" i="4"/>
  <c r="R370" i="4"/>
  <c r="R371" i="4"/>
  <c r="R372" i="4"/>
  <c r="R373" i="4"/>
  <c r="R374" i="4"/>
  <c r="R375" i="4"/>
  <c r="R376" i="4"/>
  <c r="R377" i="4"/>
  <c r="R378" i="4"/>
  <c r="R379" i="4"/>
  <c r="R380" i="4"/>
  <c r="R381" i="4"/>
  <c r="R382" i="4"/>
  <c r="R383" i="4"/>
  <c r="R384" i="4"/>
  <c r="R385" i="4"/>
  <c r="R386" i="4"/>
  <c r="R387" i="4"/>
  <c r="R388" i="4"/>
  <c r="R389" i="4"/>
  <c r="R390" i="4"/>
  <c r="R391" i="4"/>
  <c r="R392" i="4"/>
  <c r="R393" i="4"/>
  <c r="R394" i="4"/>
  <c r="R395" i="4"/>
  <c r="R396" i="4"/>
  <c r="R397" i="4"/>
  <c r="R398" i="4"/>
  <c r="R399" i="4"/>
  <c r="R400" i="4"/>
  <c r="R401" i="4"/>
  <c r="R402" i="4"/>
  <c r="R403" i="4"/>
  <c r="R404" i="4"/>
  <c r="R405" i="4"/>
  <c r="R406" i="4"/>
  <c r="R407" i="4"/>
  <c r="R408" i="4"/>
  <c r="R409" i="4"/>
  <c r="R410" i="4"/>
  <c r="R411" i="4"/>
  <c r="R412" i="4"/>
  <c r="R413" i="4"/>
  <c r="R414" i="4"/>
  <c r="R415" i="4"/>
  <c r="R416" i="4"/>
  <c r="R417" i="4"/>
  <c r="R418" i="4"/>
  <c r="R419" i="4"/>
  <c r="R420" i="4"/>
  <c r="R421" i="4"/>
  <c r="R422" i="4"/>
  <c r="R423" i="4"/>
  <c r="R424" i="4"/>
  <c r="R425" i="4"/>
  <c r="R426" i="4"/>
  <c r="R427" i="4"/>
  <c r="R428" i="4"/>
  <c r="R429" i="4"/>
  <c r="R430" i="4"/>
  <c r="R431" i="4"/>
  <c r="R432" i="4"/>
  <c r="R433" i="4"/>
  <c r="R434" i="4"/>
  <c r="R435" i="4"/>
  <c r="R436" i="4"/>
  <c r="R437" i="4"/>
  <c r="R438" i="4"/>
  <c r="R439" i="4"/>
  <c r="R440" i="4"/>
  <c r="R441" i="4"/>
  <c r="R442" i="4"/>
  <c r="R443" i="4"/>
  <c r="R444" i="4"/>
  <c r="R445" i="4"/>
  <c r="R446" i="4"/>
  <c r="R447" i="4"/>
  <c r="R448" i="4"/>
  <c r="R449" i="4"/>
  <c r="R450" i="4"/>
  <c r="R451" i="4"/>
  <c r="R452" i="4"/>
  <c r="R453" i="4"/>
  <c r="R454" i="4"/>
  <c r="R455" i="4"/>
  <c r="R456" i="4"/>
  <c r="R457" i="4"/>
  <c r="R458" i="4"/>
  <c r="R459" i="4"/>
  <c r="R460" i="4"/>
  <c r="R461" i="4"/>
  <c r="R462" i="4"/>
  <c r="R463" i="4"/>
  <c r="R464" i="4"/>
  <c r="R465" i="4"/>
  <c r="R466" i="4"/>
  <c r="R467" i="4"/>
  <c r="R468" i="4"/>
  <c r="R469" i="4"/>
  <c r="R470" i="4"/>
  <c r="R471" i="4"/>
  <c r="R472" i="4"/>
  <c r="R473" i="4"/>
  <c r="R474" i="4"/>
  <c r="R475" i="4"/>
  <c r="R476" i="4"/>
  <c r="R477" i="4"/>
  <c r="R478" i="4"/>
  <c r="R479" i="4"/>
  <c r="R480" i="4"/>
  <c r="R481" i="4"/>
  <c r="R482" i="4"/>
  <c r="R483" i="4"/>
  <c r="R484" i="4"/>
  <c r="R485" i="4"/>
  <c r="R486" i="4"/>
  <c r="R487" i="4"/>
  <c r="R488" i="4"/>
  <c r="R489" i="4"/>
  <c r="R490" i="4"/>
  <c r="R491" i="4"/>
  <c r="R492" i="4"/>
  <c r="R493" i="4"/>
  <c r="R494" i="4"/>
  <c r="R495" i="4"/>
  <c r="R496" i="4"/>
  <c r="R497" i="4"/>
  <c r="R498" i="4"/>
  <c r="R499" i="4"/>
  <c r="R500" i="4"/>
  <c r="R501" i="4"/>
  <c r="R502" i="4"/>
  <c r="R503" i="4"/>
  <c r="R504" i="4"/>
  <c r="R505" i="4"/>
  <c r="R506" i="4"/>
  <c r="R507" i="4"/>
  <c r="R508" i="4"/>
  <c r="R509" i="4"/>
  <c r="R510" i="4"/>
  <c r="R511" i="4"/>
  <c r="R512" i="4"/>
  <c r="R513" i="4"/>
  <c r="R514" i="4"/>
  <c r="R515" i="4"/>
  <c r="R516" i="4"/>
  <c r="R517" i="4"/>
  <c r="R518" i="4"/>
  <c r="R519" i="4"/>
  <c r="R520" i="4"/>
  <c r="R521" i="4"/>
  <c r="R522" i="4"/>
  <c r="R523" i="4"/>
  <c r="R524" i="4"/>
  <c r="R525" i="4"/>
  <c r="R526" i="4"/>
  <c r="R527" i="4"/>
  <c r="R528" i="4"/>
  <c r="R529" i="4"/>
  <c r="R530" i="4"/>
  <c r="R531" i="4"/>
  <c r="R532" i="4"/>
  <c r="R533" i="4"/>
  <c r="R534" i="4"/>
  <c r="R535" i="4"/>
  <c r="R536" i="4"/>
  <c r="R537" i="4"/>
  <c r="R538" i="4"/>
  <c r="R539" i="4"/>
  <c r="R540" i="4"/>
  <c r="R541" i="4"/>
  <c r="R542" i="4"/>
  <c r="R543" i="4"/>
  <c r="R544" i="4"/>
  <c r="R545" i="4"/>
  <c r="R546" i="4"/>
  <c r="R547" i="4"/>
  <c r="R548" i="4"/>
  <c r="R549" i="4"/>
  <c r="R550" i="4"/>
  <c r="R551" i="4"/>
  <c r="R552" i="4"/>
  <c r="R553" i="4"/>
  <c r="R554" i="4"/>
  <c r="R555" i="4"/>
  <c r="R556" i="4"/>
  <c r="R557" i="4"/>
  <c r="R558" i="4"/>
  <c r="R559" i="4"/>
  <c r="R560" i="4"/>
  <c r="R561" i="4"/>
  <c r="R562" i="4"/>
  <c r="R563" i="4"/>
  <c r="R564" i="4"/>
  <c r="R565" i="4"/>
  <c r="R566" i="4"/>
  <c r="R567" i="4"/>
  <c r="R568" i="4"/>
  <c r="R569" i="4"/>
  <c r="R570" i="4"/>
  <c r="R571" i="4"/>
  <c r="R572" i="4"/>
  <c r="R573" i="4"/>
  <c r="R574" i="4"/>
  <c r="R575" i="4"/>
  <c r="R576" i="4"/>
  <c r="R577" i="4"/>
  <c r="R578" i="4"/>
  <c r="R579" i="4"/>
  <c r="R580" i="4"/>
  <c r="R581" i="4"/>
  <c r="R582" i="4"/>
  <c r="R583" i="4"/>
  <c r="R584" i="4"/>
  <c r="R585" i="4"/>
  <c r="R586" i="4"/>
  <c r="R587" i="4"/>
  <c r="R588" i="4"/>
  <c r="R589" i="4"/>
  <c r="R590" i="4"/>
  <c r="R591" i="4"/>
  <c r="R592" i="4"/>
  <c r="R593" i="4"/>
  <c r="R594" i="4"/>
  <c r="R595" i="4"/>
  <c r="R596" i="4"/>
  <c r="R597" i="4"/>
  <c r="R598" i="4"/>
  <c r="R599" i="4"/>
  <c r="R600" i="4"/>
  <c r="R601" i="4"/>
  <c r="R602" i="4"/>
  <c r="R603" i="4"/>
  <c r="R604" i="4"/>
  <c r="R605" i="4"/>
  <c r="R606" i="4"/>
  <c r="R607" i="4"/>
  <c r="R608" i="4"/>
  <c r="R609" i="4"/>
  <c r="R610" i="4"/>
  <c r="R611" i="4"/>
  <c r="R612" i="4"/>
  <c r="R613" i="4"/>
  <c r="R614" i="4"/>
  <c r="R615" i="4"/>
  <c r="R616" i="4"/>
  <c r="R617" i="4"/>
  <c r="R618" i="4"/>
  <c r="R619" i="4"/>
  <c r="R620" i="4"/>
  <c r="R621" i="4"/>
  <c r="R622" i="4"/>
  <c r="R623" i="4"/>
  <c r="R624" i="4"/>
  <c r="R625" i="4"/>
  <c r="R626" i="4"/>
  <c r="R627" i="4"/>
  <c r="R628" i="4"/>
  <c r="R629" i="4"/>
  <c r="R630" i="4"/>
  <c r="R631" i="4"/>
  <c r="R632" i="4"/>
  <c r="R633" i="4"/>
  <c r="R634" i="4"/>
  <c r="R635" i="4"/>
  <c r="R636" i="4"/>
  <c r="R637" i="4"/>
  <c r="R638" i="4"/>
  <c r="R639" i="4"/>
  <c r="R640" i="4"/>
  <c r="R641" i="4"/>
  <c r="R642" i="4"/>
  <c r="R643" i="4"/>
  <c r="R644" i="4"/>
  <c r="R645" i="4"/>
  <c r="R646" i="4"/>
  <c r="R647" i="4"/>
  <c r="R648" i="4"/>
  <c r="R649" i="4"/>
  <c r="R650" i="4"/>
  <c r="R651" i="4"/>
  <c r="R652" i="4"/>
  <c r="R653" i="4"/>
  <c r="R654" i="4"/>
  <c r="R655" i="4"/>
  <c r="R656" i="4"/>
  <c r="R657" i="4"/>
  <c r="R658" i="4"/>
  <c r="R659" i="4"/>
  <c r="R660" i="4"/>
  <c r="R661" i="4"/>
  <c r="R662" i="4"/>
  <c r="R663" i="4"/>
  <c r="R664" i="4"/>
  <c r="R665" i="4"/>
  <c r="R666" i="4"/>
  <c r="R667" i="4"/>
  <c r="R668" i="4"/>
  <c r="R669" i="4"/>
  <c r="R670" i="4"/>
  <c r="R671" i="4"/>
  <c r="R672" i="4"/>
  <c r="R673" i="4"/>
  <c r="R674" i="4"/>
  <c r="R675" i="4"/>
  <c r="R676" i="4"/>
  <c r="R677" i="4"/>
  <c r="R678" i="4"/>
  <c r="R679" i="4"/>
  <c r="R680" i="4"/>
  <c r="R681" i="4"/>
  <c r="R682" i="4"/>
  <c r="R683" i="4"/>
  <c r="R684" i="4"/>
  <c r="R685" i="4"/>
  <c r="R686" i="4"/>
  <c r="R687" i="4"/>
  <c r="R688" i="4"/>
  <c r="R689" i="4"/>
  <c r="R690" i="4"/>
  <c r="R691" i="4"/>
  <c r="R692" i="4"/>
  <c r="R693" i="4"/>
  <c r="R694" i="4"/>
  <c r="R695" i="4"/>
  <c r="R696" i="4"/>
  <c r="R697" i="4"/>
  <c r="R698" i="4"/>
  <c r="R699" i="4"/>
  <c r="R700" i="4"/>
  <c r="R701" i="4"/>
  <c r="R702" i="4"/>
  <c r="R703" i="4"/>
  <c r="R704" i="4"/>
  <c r="R705" i="4"/>
  <c r="R706" i="4"/>
  <c r="R707" i="4"/>
  <c r="R708" i="4"/>
  <c r="R709" i="4"/>
  <c r="R710" i="4"/>
  <c r="R711" i="4"/>
  <c r="R712" i="4"/>
  <c r="R713" i="4"/>
  <c r="R714" i="4"/>
  <c r="R715" i="4"/>
  <c r="R716" i="4"/>
  <c r="R717" i="4"/>
  <c r="R718" i="4"/>
  <c r="R719" i="4"/>
  <c r="R720" i="4"/>
  <c r="R721" i="4"/>
  <c r="R722" i="4"/>
  <c r="R723" i="4"/>
  <c r="R724" i="4"/>
  <c r="R725" i="4"/>
  <c r="R726" i="4"/>
  <c r="R727" i="4"/>
  <c r="R728" i="4"/>
  <c r="R729" i="4"/>
  <c r="R730" i="4"/>
  <c r="R731" i="4"/>
  <c r="R732" i="4"/>
  <c r="R733" i="4"/>
  <c r="R734" i="4"/>
  <c r="R735" i="4"/>
  <c r="R736" i="4"/>
  <c r="R737" i="4"/>
  <c r="R738" i="4"/>
  <c r="R739" i="4"/>
  <c r="R740" i="4"/>
  <c r="R741" i="4"/>
  <c r="R742" i="4"/>
  <c r="R743" i="4"/>
  <c r="R744" i="4"/>
  <c r="R745" i="4"/>
  <c r="R746" i="4"/>
  <c r="R747" i="4"/>
  <c r="R748" i="4"/>
  <c r="R749" i="4"/>
  <c r="R750" i="4"/>
  <c r="R751" i="4"/>
  <c r="R752" i="4"/>
  <c r="R753" i="4"/>
  <c r="R754" i="4"/>
  <c r="R755" i="4"/>
  <c r="R756" i="4"/>
  <c r="R757" i="4"/>
  <c r="R758" i="4"/>
  <c r="R759" i="4"/>
  <c r="R760" i="4"/>
  <c r="R761" i="4"/>
  <c r="R762" i="4"/>
  <c r="R763" i="4"/>
  <c r="R764" i="4"/>
  <c r="R765" i="4"/>
  <c r="R766" i="4"/>
  <c r="R767" i="4"/>
  <c r="R768" i="4"/>
  <c r="R769" i="4"/>
  <c r="R770" i="4"/>
  <c r="R771" i="4"/>
  <c r="R772" i="4"/>
  <c r="R773" i="4"/>
  <c r="R774" i="4"/>
  <c r="R775" i="4"/>
  <c r="R776" i="4"/>
  <c r="R777" i="4"/>
  <c r="R778" i="4"/>
  <c r="R779" i="4"/>
  <c r="R780" i="4"/>
  <c r="R781" i="4"/>
  <c r="R782" i="4"/>
  <c r="R783" i="4"/>
  <c r="R784" i="4"/>
  <c r="R785" i="4"/>
  <c r="R786" i="4"/>
  <c r="R787" i="4"/>
  <c r="R788" i="4"/>
  <c r="R789" i="4"/>
  <c r="R790" i="4"/>
  <c r="R791" i="4"/>
  <c r="R792" i="4"/>
  <c r="R793" i="4"/>
  <c r="R794" i="4"/>
  <c r="R795" i="4"/>
  <c r="R796" i="4"/>
  <c r="R797" i="4"/>
  <c r="R798" i="4"/>
  <c r="R799" i="4"/>
  <c r="R800" i="4"/>
  <c r="R801" i="4"/>
  <c r="R802" i="4"/>
  <c r="R803" i="4"/>
  <c r="R804" i="4"/>
  <c r="R805" i="4"/>
  <c r="R806" i="4"/>
  <c r="R807" i="4"/>
  <c r="R808" i="4"/>
  <c r="R809" i="4"/>
  <c r="R810" i="4"/>
  <c r="R811" i="4"/>
  <c r="R812" i="4"/>
  <c r="R813" i="4"/>
  <c r="R814" i="4"/>
  <c r="R815" i="4"/>
  <c r="R816" i="4"/>
  <c r="R817" i="4"/>
  <c r="R818" i="4"/>
  <c r="R819" i="4"/>
  <c r="R820" i="4"/>
  <c r="R821" i="4"/>
  <c r="R822" i="4"/>
  <c r="R823" i="4"/>
  <c r="R824" i="4"/>
  <c r="R825" i="4"/>
  <c r="R826" i="4"/>
  <c r="R827" i="4"/>
  <c r="R828" i="4"/>
  <c r="R829" i="4"/>
  <c r="R830" i="4"/>
  <c r="R831" i="4"/>
  <c r="R832" i="4"/>
  <c r="R833" i="4"/>
  <c r="R834" i="4"/>
  <c r="R835" i="4"/>
  <c r="R836" i="4"/>
  <c r="R837" i="4"/>
  <c r="R838" i="4"/>
  <c r="R839" i="4"/>
  <c r="R840" i="4"/>
  <c r="R841" i="4"/>
  <c r="R842" i="4"/>
  <c r="R843" i="4"/>
  <c r="R844" i="4"/>
  <c r="R845" i="4"/>
  <c r="R846" i="4"/>
  <c r="R847" i="4"/>
  <c r="R848" i="4"/>
  <c r="R849" i="4"/>
  <c r="R850" i="4"/>
  <c r="R851" i="4"/>
  <c r="R852" i="4"/>
  <c r="R853" i="4"/>
  <c r="R854" i="4"/>
  <c r="R855" i="4"/>
  <c r="R856" i="4"/>
  <c r="R857" i="4"/>
  <c r="R858" i="4"/>
  <c r="R859" i="4"/>
  <c r="R860" i="4"/>
  <c r="R861" i="4"/>
  <c r="R862" i="4"/>
  <c r="R863" i="4"/>
  <c r="R864" i="4"/>
  <c r="R865" i="4"/>
  <c r="R866" i="4"/>
  <c r="R867" i="4"/>
  <c r="R868" i="4"/>
  <c r="R869" i="4"/>
  <c r="R870" i="4"/>
  <c r="R871" i="4"/>
  <c r="R872" i="4"/>
  <c r="R873" i="4"/>
  <c r="R874" i="4"/>
  <c r="R875" i="4"/>
  <c r="R876" i="4"/>
  <c r="R877" i="4"/>
  <c r="R878" i="4"/>
  <c r="R879" i="4"/>
  <c r="R880" i="4"/>
  <c r="R881" i="4"/>
  <c r="R882" i="4"/>
  <c r="R883" i="4"/>
  <c r="R884" i="4"/>
  <c r="R885" i="4"/>
  <c r="R886" i="4"/>
  <c r="R887" i="4"/>
  <c r="R888" i="4"/>
  <c r="R889" i="4"/>
  <c r="R890" i="4"/>
  <c r="R891" i="4"/>
  <c r="R892" i="4"/>
  <c r="R893" i="4"/>
  <c r="R894" i="4"/>
  <c r="R895" i="4"/>
  <c r="R896" i="4"/>
  <c r="R897" i="4"/>
  <c r="R898" i="4"/>
  <c r="R899" i="4"/>
  <c r="R900" i="4"/>
  <c r="R901" i="4"/>
  <c r="R902" i="4"/>
  <c r="R903" i="4"/>
  <c r="R904" i="4"/>
  <c r="R905" i="4"/>
  <c r="R906" i="4"/>
  <c r="R907" i="4"/>
  <c r="R908" i="4"/>
  <c r="R909" i="4"/>
  <c r="R910" i="4"/>
  <c r="R911" i="4"/>
  <c r="R912" i="4"/>
  <c r="R913" i="4"/>
  <c r="R914" i="4"/>
  <c r="R915" i="4"/>
  <c r="R916" i="4"/>
  <c r="R917" i="4"/>
  <c r="R918" i="4"/>
  <c r="R919" i="4"/>
  <c r="R920" i="4"/>
  <c r="R921" i="4"/>
  <c r="R922" i="4"/>
  <c r="R923" i="4"/>
  <c r="R924" i="4"/>
  <c r="R925" i="4"/>
  <c r="R926" i="4"/>
  <c r="R927" i="4"/>
  <c r="R928" i="4"/>
  <c r="R929" i="4"/>
  <c r="R930" i="4"/>
  <c r="R931" i="4"/>
  <c r="R932" i="4"/>
  <c r="R933" i="4"/>
  <c r="R934" i="4"/>
  <c r="R935" i="4"/>
  <c r="R936" i="4"/>
  <c r="R937" i="4"/>
  <c r="R938" i="4"/>
  <c r="R939" i="4"/>
  <c r="R940" i="4"/>
  <c r="R941" i="4"/>
  <c r="R942" i="4"/>
  <c r="R943" i="4"/>
  <c r="R944" i="4"/>
  <c r="R945" i="4"/>
  <c r="R946" i="4"/>
  <c r="R947" i="4"/>
  <c r="R948" i="4"/>
  <c r="R949" i="4"/>
  <c r="R950" i="4"/>
  <c r="R951" i="4"/>
  <c r="R952" i="4"/>
  <c r="R953" i="4"/>
  <c r="R954" i="4"/>
  <c r="R955" i="4"/>
  <c r="R956" i="4"/>
  <c r="R957" i="4"/>
  <c r="R958" i="4"/>
  <c r="R959" i="4"/>
  <c r="R960" i="4"/>
  <c r="R961" i="4"/>
  <c r="R962" i="4"/>
  <c r="R963" i="4"/>
  <c r="R964" i="4"/>
  <c r="R965" i="4"/>
  <c r="R966" i="4"/>
  <c r="R967" i="4"/>
  <c r="R968" i="4"/>
  <c r="R969" i="4"/>
  <c r="R970" i="4"/>
  <c r="R971" i="4"/>
  <c r="R972" i="4"/>
  <c r="R973" i="4"/>
  <c r="R974" i="4"/>
  <c r="R975" i="4"/>
  <c r="R976" i="4"/>
  <c r="R977" i="4"/>
  <c r="R978" i="4"/>
  <c r="R979" i="4"/>
  <c r="R980" i="4"/>
  <c r="R981" i="4"/>
  <c r="R982" i="4"/>
  <c r="R983" i="4"/>
  <c r="R984" i="4"/>
  <c r="R985" i="4"/>
  <c r="R986" i="4"/>
  <c r="R987" i="4"/>
  <c r="R988" i="4"/>
  <c r="R989" i="4"/>
  <c r="R990" i="4"/>
  <c r="R991" i="4"/>
  <c r="R992" i="4"/>
  <c r="R993" i="4"/>
  <c r="R994" i="4"/>
  <c r="R995" i="4"/>
  <c r="R996" i="4"/>
  <c r="R997" i="4"/>
  <c r="R998" i="4"/>
  <c r="R999" i="4"/>
  <c r="R1000" i="4"/>
  <c r="R1001" i="4"/>
  <c r="R1002" i="4"/>
  <c r="R1003" i="4"/>
  <c r="R1004" i="4"/>
  <c r="R1005" i="4"/>
  <c r="R1006" i="4"/>
  <c r="R1007" i="4"/>
  <c r="R1008" i="4"/>
  <c r="R1009" i="4"/>
  <c r="R1010" i="4"/>
  <c r="R1011" i="4"/>
  <c r="R1012" i="4"/>
  <c r="R1013" i="4"/>
  <c r="R1014" i="4"/>
  <c r="R1015" i="4"/>
  <c r="R1016" i="4"/>
  <c r="R1017" i="4"/>
  <c r="R1018" i="4"/>
  <c r="R1019" i="4"/>
  <c r="R1020" i="4"/>
  <c r="R1021" i="4"/>
  <c r="R1022" i="4"/>
  <c r="R1023" i="4"/>
  <c r="R1024" i="4"/>
  <c r="R1025" i="4"/>
  <c r="R1026" i="4"/>
  <c r="R1027" i="4"/>
  <c r="R1028" i="4"/>
  <c r="R1029" i="4"/>
  <c r="R1030" i="4"/>
  <c r="R1031" i="4"/>
  <c r="R1032" i="4"/>
  <c r="R1033" i="4"/>
  <c r="R1034" i="4"/>
  <c r="R1035" i="4"/>
  <c r="R1036" i="4"/>
  <c r="R1037" i="4"/>
  <c r="R1038" i="4"/>
  <c r="R1039" i="4"/>
  <c r="R1040" i="4"/>
  <c r="R1041" i="4"/>
  <c r="R1042" i="4"/>
  <c r="R1043" i="4"/>
  <c r="R1044" i="4"/>
  <c r="R1045" i="4"/>
  <c r="R1046" i="4"/>
  <c r="R1047" i="4"/>
  <c r="R1048" i="4"/>
  <c r="R1049" i="4"/>
  <c r="R1050" i="4"/>
  <c r="R1051" i="4"/>
  <c r="R1052" i="4"/>
  <c r="R1053" i="4"/>
  <c r="R1054" i="4"/>
  <c r="R1055" i="4"/>
  <c r="R1056" i="4"/>
  <c r="R1057" i="4"/>
  <c r="R1058" i="4"/>
  <c r="R1059" i="4"/>
  <c r="R1060" i="4"/>
  <c r="R1061" i="4"/>
  <c r="R1062" i="4"/>
  <c r="R1063" i="4"/>
  <c r="R1064" i="4"/>
  <c r="R1065" i="4"/>
  <c r="R1066" i="4"/>
  <c r="R1067" i="4"/>
  <c r="R1068" i="4"/>
  <c r="R1069" i="4"/>
  <c r="R1070" i="4"/>
  <c r="R1071" i="4"/>
  <c r="R1072" i="4"/>
  <c r="R1073" i="4"/>
  <c r="R1074" i="4"/>
  <c r="R1075" i="4"/>
  <c r="R1076" i="4"/>
  <c r="R1077" i="4"/>
  <c r="R1078" i="4"/>
  <c r="R1079" i="4"/>
  <c r="R1080" i="4"/>
  <c r="R1081" i="4"/>
  <c r="R1082" i="4"/>
  <c r="R1083" i="4"/>
  <c r="R1084" i="4"/>
  <c r="R1085" i="4"/>
  <c r="R1086" i="4"/>
  <c r="R1087" i="4"/>
  <c r="R1088" i="4"/>
  <c r="R1089" i="4"/>
  <c r="R1090" i="4"/>
  <c r="R1091" i="4"/>
  <c r="R1092" i="4"/>
  <c r="R1093" i="4"/>
  <c r="R1094" i="4"/>
  <c r="R1095" i="4"/>
  <c r="R1096" i="4"/>
  <c r="R1097" i="4"/>
  <c r="R1098" i="4"/>
  <c r="R1099" i="4"/>
  <c r="R1100" i="4"/>
  <c r="R1101" i="4"/>
  <c r="R1102" i="4"/>
  <c r="R1103" i="4"/>
  <c r="R1104" i="4"/>
  <c r="R1105" i="4"/>
  <c r="R1106" i="4"/>
  <c r="R1107" i="4"/>
  <c r="R1108" i="4"/>
  <c r="R1109" i="4"/>
  <c r="R1110" i="4"/>
  <c r="R1111" i="4"/>
  <c r="R1112" i="4"/>
  <c r="R1113" i="4"/>
  <c r="R1114" i="4"/>
  <c r="R1115" i="4"/>
  <c r="R1116" i="4"/>
  <c r="R1117" i="4"/>
  <c r="R1118" i="4"/>
  <c r="R1119" i="4"/>
  <c r="R1120" i="4"/>
  <c r="R1121" i="4"/>
  <c r="R1122" i="4"/>
  <c r="R1123" i="4"/>
  <c r="R1124" i="4"/>
  <c r="R1125" i="4"/>
  <c r="R1126" i="4"/>
  <c r="R1127" i="4"/>
  <c r="R1128" i="4"/>
  <c r="R1129" i="4"/>
  <c r="R1130" i="4"/>
  <c r="R1131" i="4"/>
  <c r="R1132" i="4"/>
  <c r="R1133" i="4"/>
  <c r="R1134" i="4"/>
  <c r="R1135" i="4"/>
  <c r="R1136" i="4"/>
  <c r="R1137" i="4"/>
  <c r="R1138" i="4"/>
  <c r="R1139" i="4"/>
  <c r="R1140" i="4"/>
  <c r="R1141" i="4"/>
  <c r="R1142" i="4"/>
  <c r="R1143" i="4"/>
  <c r="R1144" i="4"/>
  <c r="R1145" i="4"/>
  <c r="R1146" i="4"/>
  <c r="R1147" i="4"/>
  <c r="R1148" i="4"/>
  <c r="R1149" i="4"/>
  <c r="R1150" i="4"/>
  <c r="R1151" i="4"/>
  <c r="J35" i="4"/>
  <c r="J36" i="4"/>
  <c r="J37" i="4"/>
  <c r="V37" i="4" s="1"/>
  <c r="J38" i="4"/>
  <c r="J39" i="4"/>
  <c r="J40" i="4"/>
  <c r="J41" i="4"/>
  <c r="V41" i="4" s="1"/>
  <c r="J42" i="4"/>
  <c r="V42" i="4" s="1"/>
  <c r="J43" i="4"/>
  <c r="J44" i="4"/>
  <c r="J45" i="4"/>
  <c r="X45" i="4" s="1"/>
  <c r="J46" i="4"/>
  <c r="J47" i="4"/>
  <c r="J48" i="4"/>
  <c r="J49" i="4"/>
  <c r="J50" i="4"/>
  <c r="J51" i="4"/>
  <c r="J52" i="4"/>
  <c r="J53" i="4"/>
  <c r="V53" i="4" s="1"/>
  <c r="J54" i="4"/>
  <c r="J55" i="4"/>
  <c r="J56" i="4"/>
  <c r="J57" i="4"/>
  <c r="J58" i="4"/>
  <c r="V58" i="4" s="1"/>
  <c r="J59" i="4"/>
  <c r="J60" i="4"/>
  <c r="J61" i="4"/>
  <c r="J62" i="4"/>
  <c r="X62" i="4" s="1"/>
  <c r="J63" i="4"/>
  <c r="X63" i="4" s="1"/>
  <c r="J64" i="4"/>
  <c r="J65" i="4"/>
  <c r="J66" i="4"/>
  <c r="J67" i="4"/>
  <c r="J68" i="4"/>
  <c r="J69" i="4"/>
  <c r="V69" i="4" s="1"/>
  <c r="J70" i="4"/>
  <c r="X70" i="4" s="1"/>
  <c r="J71" i="4"/>
  <c r="J72" i="4"/>
  <c r="J73" i="4"/>
  <c r="J74" i="4"/>
  <c r="J75" i="4"/>
  <c r="J76" i="4"/>
  <c r="V76" i="4" s="1"/>
  <c r="J77" i="4"/>
  <c r="V77" i="4" s="1"/>
  <c r="J78" i="4"/>
  <c r="J79" i="4"/>
  <c r="J80" i="4"/>
  <c r="J81" i="4"/>
  <c r="V81" i="4" s="1"/>
  <c r="J82" i="4"/>
  <c r="J83" i="4"/>
  <c r="J84" i="4"/>
  <c r="J85" i="4"/>
  <c r="J86" i="4"/>
  <c r="J87" i="4"/>
  <c r="J88" i="4"/>
  <c r="J89" i="4"/>
  <c r="J90" i="4"/>
  <c r="J91" i="4"/>
  <c r="J92" i="4"/>
  <c r="J93" i="4"/>
  <c r="V93" i="4" s="1"/>
  <c r="J94" i="4"/>
  <c r="J95" i="4"/>
  <c r="J96" i="4"/>
  <c r="J97" i="4"/>
  <c r="J98" i="4"/>
  <c r="J99" i="4"/>
  <c r="J100" i="4"/>
  <c r="J101" i="4"/>
  <c r="V101" i="4" s="1"/>
  <c r="J102" i="4"/>
  <c r="X102" i="4" s="1"/>
  <c r="J103" i="4"/>
  <c r="J104" i="4"/>
  <c r="J105" i="4"/>
  <c r="J106" i="4"/>
  <c r="J107" i="4"/>
  <c r="J108" i="4"/>
  <c r="J109" i="4"/>
  <c r="X109" i="4" s="1"/>
  <c r="J110" i="4"/>
  <c r="X110" i="4" s="1"/>
  <c r="J111" i="4"/>
  <c r="J112" i="4"/>
  <c r="J113" i="4"/>
  <c r="J114" i="4"/>
  <c r="J115" i="4"/>
  <c r="J116" i="4"/>
  <c r="V116" i="4" s="1"/>
  <c r="J117" i="4"/>
  <c r="V117" i="4" s="1"/>
  <c r="J118" i="4"/>
  <c r="J119" i="4"/>
  <c r="J120" i="4"/>
  <c r="J121" i="4"/>
  <c r="V121" i="4" s="1"/>
  <c r="J122" i="4"/>
  <c r="J123" i="4"/>
  <c r="J124" i="4"/>
  <c r="J125" i="4"/>
  <c r="X125" i="4" s="1"/>
  <c r="J126" i="4"/>
  <c r="X126" i="4" s="1"/>
  <c r="J127" i="4"/>
  <c r="J128" i="4"/>
  <c r="J129" i="4"/>
  <c r="J130" i="4"/>
  <c r="J131" i="4"/>
  <c r="J132" i="4"/>
  <c r="J133" i="4"/>
  <c r="V133" i="4" s="1"/>
  <c r="J134" i="4"/>
  <c r="J135" i="4"/>
  <c r="J136" i="4"/>
  <c r="J137" i="4"/>
  <c r="J138" i="4"/>
  <c r="J139" i="4"/>
  <c r="J140" i="4"/>
  <c r="V140" i="4" s="1"/>
  <c r="J141" i="4"/>
  <c r="V141" i="4" s="1"/>
  <c r="J142" i="4"/>
  <c r="J143" i="4"/>
  <c r="J144" i="4"/>
  <c r="J145" i="4"/>
  <c r="J146" i="4"/>
  <c r="J147" i="4"/>
  <c r="J148" i="4"/>
  <c r="J149" i="4"/>
  <c r="X149" i="4" s="1"/>
  <c r="J150" i="4"/>
  <c r="X150" i="4" s="1"/>
  <c r="J151" i="4"/>
  <c r="J152" i="4"/>
  <c r="J153" i="4"/>
  <c r="J154" i="4"/>
  <c r="J155" i="4"/>
  <c r="J156" i="4"/>
  <c r="V156" i="4" s="1"/>
  <c r="J157" i="4"/>
  <c r="V157" i="4" s="1"/>
  <c r="J158" i="4"/>
  <c r="J159" i="4"/>
  <c r="J160" i="4"/>
  <c r="J161" i="4"/>
  <c r="V161" i="4" s="1"/>
  <c r="J162" i="4"/>
  <c r="J163" i="4"/>
  <c r="J164" i="4"/>
  <c r="J165" i="4"/>
  <c r="P165" i="4" s="1"/>
  <c r="J166" i="4"/>
  <c r="X166" i="4" s="1"/>
  <c r="J167" i="4"/>
  <c r="J168" i="4"/>
  <c r="J169" i="4"/>
  <c r="J170" i="4"/>
  <c r="J171" i="4"/>
  <c r="J172" i="4"/>
  <c r="J173" i="4"/>
  <c r="X173" i="4" s="1"/>
  <c r="J174" i="4"/>
  <c r="J175" i="4"/>
  <c r="J176" i="4"/>
  <c r="J177" i="4"/>
  <c r="J178" i="4"/>
  <c r="J179" i="4"/>
  <c r="J180" i="4"/>
  <c r="V180" i="4" s="1"/>
  <c r="J181" i="4"/>
  <c r="V181" i="4" s="1"/>
  <c r="J182" i="4"/>
  <c r="J183" i="4"/>
  <c r="J184" i="4"/>
  <c r="J185" i="4"/>
  <c r="P185" i="4" s="1"/>
  <c r="J186" i="4"/>
  <c r="J187" i="4"/>
  <c r="J188" i="4"/>
  <c r="J189" i="4"/>
  <c r="J190" i="4"/>
  <c r="J191" i="4"/>
  <c r="J192" i="4"/>
  <c r="J193" i="4"/>
  <c r="J194" i="4"/>
  <c r="J195" i="4"/>
  <c r="J196" i="4"/>
  <c r="V196" i="4" s="1"/>
  <c r="J197" i="4"/>
  <c r="V197" i="4" s="1"/>
  <c r="J198" i="4"/>
  <c r="J199" i="4"/>
  <c r="J200" i="4"/>
  <c r="J201" i="4"/>
  <c r="J202" i="4"/>
  <c r="J203" i="4"/>
  <c r="J204" i="4"/>
  <c r="V204" i="4" s="1"/>
  <c r="J205" i="4"/>
  <c r="P205" i="4" s="1"/>
  <c r="J206" i="4"/>
  <c r="J207" i="4"/>
  <c r="J208" i="4"/>
  <c r="J209" i="4"/>
  <c r="J210" i="4"/>
  <c r="J211" i="4"/>
  <c r="J212" i="4"/>
  <c r="J213" i="4"/>
  <c r="X213" i="4" s="1"/>
  <c r="J214" i="4"/>
  <c r="J215" i="4"/>
  <c r="J216" i="4"/>
  <c r="J217" i="4"/>
  <c r="J218" i="4"/>
  <c r="J219" i="4"/>
  <c r="J220" i="4"/>
  <c r="V220" i="4" s="1"/>
  <c r="J221" i="4"/>
  <c r="V221" i="4" s="1"/>
  <c r="J222" i="4"/>
  <c r="J223" i="4"/>
  <c r="J224" i="4"/>
  <c r="J225" i="4"/>
  <c r="P225" i="4" s="1"/>
  <c r="J226" i="4"/>
  <c r="J227" i="4"/>
  <c r="J228" i="4"/>
  <c r="J229" i="4"/>
  <c r="P229" i="4" s="1"/>
  <c r="J230" i="4"/>
  <c r="P230" i="4" s="1"/>
  <c r="J231" i="4"/>
  <c r="J232" i="4"/>
  <c r="J233" i="4"/>
  <c r="J234" i="4"/>
  <c r="J235" i="4"/>
  <c r="V235" i="4" s="1"/>
  <c r="J236" i="4"/>
  <c r="J237" i="4"/>
  <c r="J238" i="4"/>
  <c r="J239" i="4"/>
  <c r="J240" i="4"/>
  <c r="J241" i="4"/>
  <c r="V241" i="4" s="1"/>
  <c r="J242" i="4"/>
  <c r="V242" i="4" s="1"/>
  <c r="J243" i="4"/>
  <c r="J244" i="4"/>
  <c r="J245" i="4"/>
  <c r="V245" i="4" s="1"/>
  <c r="J246" i="4"/>
  <c r="J247" i="4"/>
  <c r="J248" i="4"/>
  <c r="J249" i="4"/>
  <c r="J250" i="4"/>
  <c r="J251" i="4"/>
  <c r="J252" i="4"/>
  <c r="J253" i="4"/>
  <c r="P253" i="4" s="1"/>
  <c r="J254" i="4"/>
  <c r="V254" i="4" s="1"/>
  <c r="J255" i="4"/>
  <c r="J256" i="4"/>
  <c r="J257" i="4"/>
  <c r="J258" i="4"/>
  <c r="J259" i="4"/>
  <c r="J260" i="4"/>
  <c r="J261" i="4"/>
  <c r="V261" i="4" s="1"/>
  <c r="J262" i="4"/>
  <c r="J263" i="4"/>
  <c r="J264" i="4"/>
  <c r="J265" i="4"/>
  <c r="J266" i="4"/>
  <c r="J267" i="4"/>
  <c r="J268" i="4"/>
  <c r="J269" i="4"/>
  <c r="X269" i="4" s="1"/>
  <c r="J270" i="4"/>
  <c r="J271" i="4"/>
  <c r="J272" i="4"/>
  <c r="J273" i="4"/>
  <c r="P273" i="4" s="1"/>
  <c r="J274" i="4"/>
  <c r="J275" i="4"/>
  <c r="V275" i="4" s="1"/>
  <c r="J276" i="4"/>
  <c r="J277" i="4"/>
  <c r="J278" i="4"/>
  <c r="J279" i="4"/>
  <c r="J280" i="4"/>
  <c r="X280" i="4" s="1"/>
  <c r="J281" i="4"/>
  <c r="J282" i="4"/>
  <c r="J283" i="4"/>
  <c r="J284" i="4"/>
  <c r="J285" i="4"/>
  <c r="V285" i="4" s="1"/>
  <c r="J286" i="4"/>
  <c r="V286" i="4" s="1"/>
  <c r="J287" i="4"/>
  <c r="J288" i="4"/>
  <c r="P288" i="4" s="1"/>
  <c r="J289" i="4"/>
  <c r="J290" i="4"/>
  <c r="J291" i="4"/>
  <c r="J292" i="4"/>
  <c r="V292" i="4" s="1"/>
  <c r="J293" i="4"/>
  <c r="P293" i="4" s="1"/>
  <c r="J294" i="4"/>
  <c r="J295" i="4"/>
  <c r="J296" i="4"/>
  <c r="J297" i="4"/>
  <c r="J298" i="4"/>
  <c r="J299" i="4"/>
  <c r="J300" i="4"/>
  <c r="J301" i="4"/>
  <c r="V301" i="4" s="1"/>
  <c r="J302" i="4"/>
  <c r="V302" i="4" s="1"/>
  <c r="J303" i="4"/>
  <c r="P303" i="4" s="1"/>
  <c r="J304" i="4"/>
  <c r="J305" i="4"/>
  <c r="J306" i="4"/>
  <c r="J307" i="4"/>
  <c r="J308" i="4"/>
  <c r="J309" i="4"/>
  <c r="V309" i="4" s="1"/>
  <c r="J310" i="4"/>
  <c r="V310" i="4" s="1"/>
  <c r="J311" i="4"/>
  <c r="V311" i="4" s="1"/>
  <c r="J312" i="4"/>
  <c r="V312" i="4" s="1"/>
  <c r="J313" i="4"/>
  <c r="J314" i="4"/>
  <c r="J315" i="4"/>
  <c r="J316" i="4"/>
  <c r="V316" i="4" s="1"/>
  <c r="J317" i="4"/>
  <c r="V317" i="4" s="1"/>
  <c r="J318" i="4"/>
  <c r="V318" i="4" s="1"/>
  <c r="J319" i="4"/>
  <c r="J320" i="4"/>
  <c r="J321" i="4"/>
  <c r="J322" i="4"/>
  <c r="J323" i="4"/>
  <c r="J324" i="4"/>
  <c r="J325" i="4"/>
  <c r="V325" i="4" s="1"/>
  <c r="J326" i="4"/>
  <c r="P326" i="4" s="1"/>
  <c r="J327" i="4"/>
  <c r="V327" i="4" s="1"/>
  <c r="J328" i="4"/>
  <c r="P328" i="4" s="1"/>
  <c r="J329" i="4"/>
  <c r="J330" i="4"/>
  <c r="J331" i="4"/>
  <c r="J332" i="4"/>
  <c r="V332" i="4" s="1"/>
  <c r="J333" i="4"/>
  <c r="P333" i="4" s="1"/>
  <c r="J334" i="4"/>
  <c r="V334" i="4" s="1"/>
  <c r="J335" i="4"/>
  <c r="J336" i="4"/>
  <c r="J337" i="4"/>
  <c r="J338" i="4"/>
  <c r="J339" i="4"/>
  <c r="J340" i="4"/>
  <c r="V340" i="4" s="1"/>
  <c r="J341" i="4"/>
  <c r="V341" i="4" s="1"/>
  <c r="J342" i="4"/>
  <c r="V342" i="4" s="1"/>
  <c r="J343" i="4"/>
  <c r="P343" i="4" s="1"/>
  <c r="J344" i="4"/>
  <c r="J345" i="4"/>
  <c r="J346" i="4"/>
  <c r="J347" i="4"/>
  <c r="J348" i="4"/>
  <c r="J349" i="4"/>
  <c r="V349" i="4" s="1"/>
  <c r="J350" i="4"/>
  <c r="V350" i="4" s="1"/>
  <c r="J351" i="4"/>
  <c r="X351" i="4" s="1"/>
  <c r="J352" i="4"/>
  <c r="P352" i="4" s="1"/>
  <c r="J353" i="4"/>
  <c r="J354" i="4"/>
  <c r="J355" i="4"/>
  <c r="J356" i="4"/>
  <c r="V356" i="4" s="1"/>
  <c r="J357" i="4"/>
  <c r="V357" i="4" s="1"/>
  <c r="J358" i="4"/>
  <c r="J359" i="4"/>
  <c r="J360" i="4"/>
  <c r="J361" i="4"/>
  <c r="J362" i="4"/>
  <c r="J363" i="4"/>
  <c r="T363" i="4" s="1"/>
  <c r="J364" i="4"/>
  <c r="J365" i="4"/>
  <c r="V365" i="4" s="1"/>
  <c r="J366" i="4"/>
  <c r="P366" i="4" s="1"/>
  <c r="J367" i="4"/>
  <c r="V367" i="4" s="1"/>
  <c r="J368" i="4"/>
  <c r="X368" i="4" s="1"/>
  <c r="J369" i="4"/>
  <c r="J370" i="4"/>
  <c r="J371" i="4"/>
  <c r="J372" i="4"/>
  <c r="J373" i="4"/>
  <c r="V373" i="4" s="1"/>
  <c r="J374" i="4"/>
  <c r="V374" i="4" s="1"/>
  <c r="J375" i="4"/>
  <c r="V375" i="4" s="1"/>
  <c r="J376" i="4"/>
  <c r="J377" i="4"/>
  <c r="J378" i="4"/>
  <c r="J379" i="4"/>
  <c r="J380" i="4"/>
  <c r="V380" i="4" s="1"/>
  <c r="J381" i="4"/>
  <c r="V381" i="4" s="1"/>
  <c r="J382" i="4"/>
  <c r="P382" i="4" s="1"/>
  <c r="J383" i="4"/>
  <c r="J384" i="4"/>
  <c r="J385" i="4"/>
  <c r="J386" i="4"/>
  <c r="J387" i="4"/>
  <c r="J388" i="4"/>
  <c r="J389" i="4"/>
  <c r="P389" i="4" s="1"/>
  <c r="J390" i="4"/>
  <c r="P390" i="4" s="1"/>
  <c r="J391" i="4"/>
  <c r="P391" i="4" s="1"/>
  <c r="J392" i="4"/>
  <c r="J393" i="4"/>
  <c r="J394" i="4"/>
  <c r="J395" i="4"/>
  <c r="J396" i="4"/>
  <c r="V396" i="4" s="1"/>
  <c r="J397" i="4"/>
  <c r="J398" i="4"/>
  <c r="V398" i="4" s="1"/>
  <c r="J399" i="4"/>
  <c r="J400" i="4"/>
  <c r="X400" i="4" s="1"/>
  <c r="J401" i="4"/>
  <c r="J402" i="4"/>
  <c r="X402" i="4" s="1"/>
  <c r="J403" i="4"/>
  <c r="J404" i="4"/>
  <c r="V404" i="4" s="1"/>
  <c r="J405" i="4"/>
  <c r="V405" i="4" s="1"/>
  <c r="J406" i="4"/>
  <c r="V406" i="4" s="1"/>
  <c r="J407" i="4"/>
  <c r="V407" i="4" s="1"/>
  <c r="J408" i="4"/>
  <c r="J409" i="4"/>
  <c r="J410" i="4"/>
  <c r="J411" i="4"/>
  <c r="J412" i="4"/>
  <c r="J413" i="4"/>
  <c r="V413" i="4" s="1"/>
  <c r="J414" i="4"/>
  <c r="V414" i="4" s="1"/>
  <c r="J415" i="4"/>
  <c r="V415" i="4" s="1"/>
  <c r="J416" i="4"/>
  <c r="J417" i="4"/>
  <c r="J418" i="4"/>
  <c r="J419" i="4"/>
  <c r="J420" i="4"/>
  <c r="V420" i="4" s="1"/>
  <c r="J421" i="4"/>
  <c r="T421" i="4" s="1"/>
  <c r="J422" i="4"/>
  <c r="P422" i="4" s="1"/>
  <c r="J423" i="4"/>
  <c r="P423" i="4" s="1"/>
  <c r="J424" i="4"/>
  <c r="X424" i="4" s="1"/>
  <c r="J425" i="4"/>
  <c r="J426" i="4"/>
  <c r="J427" i="4"/>
  <c r="J428" i="4"/>
  <c r="J429" i="4"/>
  <c r="V429" i="4" s="1"/>
  <c r="J430" i="4"/>
  <c r="V430" i="4" s="1"/>
  <c r="J431" i="4"/>
  <c r="V431" i="4" s="1"/>
  <c r="J432" i="4"/>
  <c r="V432" i="4" s="1"/>
  <c r="J433" i="4"/>
  <c r="X433" i="4" s="1"/>
  <c r="J434" i="4"/>
  <c r="J435" i="4"/>
  <c r="J436" i="4"/>
  <c r="J437" i="4"/>
  <c r="V437" i="4" s="1"/>
  <c r="J438" i="4"/>
  <c r="V438" i="4" s="1"/>
  <c r="J439" i="4"/>
  <c r="V439" i="4" s="1"/>
  <c r="J440" i="4"/>
  <c r="P440" i="4" s="1"/>
  <c r="J441" i="4"/>
  <c r="J442" i="4"/>
  <c r="J443" i="4"/>
  <c r="J444" i="4"/>
  <c r="V444" i="4" s="1"/>
  <c r="J445" i="4"/>
  <c r="V445" i="4" s="1"/>
  <c r="J446" i="4"/>
  <c r="V446" i="4" s="1"/>
  <c r="J447" i="4"/>
  <c r="J448" i="4"/>
  <c r="J449" i="4"/>
  <c r="J450" i="4"/>
  <c r="J451" i="4"/>
  <c r="J452" i="4"/>
  <c r="J453" i="4"/>
  <c r="X453" i="4" s="1"/>
  <c r="J454" i="4"/>
  <c r="V454" i="4" s="1"/>
  <c r="J455" i="4"/>
  <c r="P455" i="4" s="1"/>
  <c r="J456" i="4"/>
  <c r="P456" i="4" s="1"/>
  <c r="J457" i="4"/>
  <c r="J458" i="4"/>
  <c r="J459" i="4"/>
  <c r="J460" i="4"/>
  <c r="V460" i="4" s="1"/>
  <c r="J461" i="4"/>
  <c r="J462" i="4"/>
  <c r="P462" i="4" s="1"/>
  <c r="J463" i="4"/>
  <c r="J464" i="4"/>
  <c r="J465" i="4"/>
  <c r="J466" i="4"/>
  <c r="X466" i="4" s="1"/>
  <c r="J467" i="4"/>
  <c r="J468" i="4"/>
  <c r="V468" i="4" s="1"/>
  <c r="J469" i="4"/>
  <c r="V469" i="4" s="1"/>
  <c r="J470" i="4"/>
  <c r="V470" i="4" s="1"/>
  <c r="J471" i="4"/>
  <c r="V471" i="4" s="1"/>
  <c r="J472" i="4"/>
  <c r="J473" i="4"/>
  <c r="J474" i="4"/>
  <c r="J475" i="4"/>
  <c r="J476" i="4"/>
  <c r="J477" i="4"/>
  <c r="X477" i="4" s="1"/>
  <c r="J478" i="4"/>
  <c r="V478" i="4" s="1"/>
  <c r="J479" i="4"/>
  <c r="V479" i="4" s="1"/>
  <c r="J480" i="4"/>
  <c r="J481" i="4"/>
  <c r="J482" i="4"/>
  <c r="J483" i="4"/>
  <c r="J484" i="4"/>
  <c r="V484" i="4" s="1"/>
  <c r="J485" i="4"/>
  <c r="V485" i="4" s="1"/>
  <c r="J486" i="4"/>
  <c r="P486" i="4" s="1"/>
  <c r="J487" i="4"/>
  <c r="J488" i="4"/>
  <c r="J489" i="4"/>
  <c r="J490" i="4"/>
  <c r="J491" i="4"/>
  <c r="J492" i="4"/>
  <c r="J493" i="4"/>
  <c r="V493" i="4" s="1"/>
  <c r="J494" i="4"/>
  <c r="X494" i="4" s="1"/>
  <c r="J495" i="4"/>
  <c r="P495" i="4" s="1"/>
  <c r="J496" i="4"/>
  <c r="V496" i="4" s="1"/>
  <c r="J497" i="4"/>
  <c r="J498" i="4"/>
  <c r="J499" i="4"/>
  <c r="J500" i="4"/>
  <c r="J501" i="4"/>
  <c r="V501" i="4" s="1"/>
  <c r="J502" i="4"/>
  <c r="V502" i="4" s="1"/>
  <c r="J503" i="4"/>
  <c r="V503" i="4" s="1"/>
  <c r="J504" i="4"/>
  <c r="P504" i="4" s="1"/>
  <c r="J505" i="4"/>
  <c r="J506" i="4"/>
  <c r="J507" i="4"/>
  <c r="J508" i="4"/>
  <c r="V508" i="4" s="1"/>
  <c r="J509" i="4"/>
  <c r="P509" i="4" s="1"/>
  <c r="J510" i="4"/>
  <c r="P510" i="4" s="1"/>
  <c r="J511" i="4"/>
  <c r="J512" i="4"/>
  <c r="J513" i="4"/>
  <c r="J514" i="4"/>
  <c r="J515" i="4"/>
  <c r="J516" i="4"/>
  <c r="J517" i="4"/>
  <c r="V517" i="4" s="1"/>
  <c r="J518" i="4"/>
  <c r="V518" i="4" s="1"/>
  <c r="J519" i="4"/>
  <c r="P519" i="4" s="1"/>
  <c r="J520" i="4"/>
  <c r="V520" i="4" s="1"/>
  <c r="J521" i="4"/>
  <c r="J522" i="4"/>
  <c r="J523" i="4"/>
  <c r="J524" i="4"/>
  <c r="J525" i="4"/>
  <c r="J526" i="4"/>
  <c r="P526" i="4" s="1"/>
  <c r="J527" i="4"/>
  <c r="P527" i="4" s="1"/>
  <c r="J528" i="4"/>
  <c r="J529" i="4"/>
  <c r="J530" i="4"/>
  <c r="J531" i="4"/>
  <c r="J532" i="4"/>
  <c r="V532" i="4" s="1"/>
  <c r="J533" i="4"/>
  <c r="V533" i="4" s="1"/>
  <c r="J534" i="4"/>
  <c r="V534" i="4" s="1"/>
  <c r="J535" i="4"/>
  <c r="V535" i="4" s="1"/>
  <c r="J536" i="4"/>
  <c r="J537" i="4"/>
  <c r="J538" i="4"/>
  <c r="J539" i="4"/>
  <c r="J540" i="4"/>
  <c r="J541" i="4"/>
  <c r="V541" i="4" s="1"/>
  <c r="J542" i="4"/>
  <c r="P542" i="4" s="1"/>
  <c r="J543" i="4"/>
  <c r="X543" i="4" s="1"/>
  <c r="J544" i="4"/>
  <c r="V544" i="4" s="1"/>
  <c r="J545" i="4"/>
  <c r="J546" i="4"/>
  <c r="J547" i="4"/>
  <c r="J548" i="4"/>
  <c r="J549" i="4"/>
  <c r="V549" i="4" s="1"/>
  <c r="J550" i="4"/>
  <c r="J551" i="4"/>
  <c r="J552" i="4"/>
  <c r="J553" i="4"/>
  <c r="J554" i="4"/>
  <c r="J555" i="4"/>
  <c r="J556" i="4"/>
  <c r="J557" i="4"/>
  <c r="V557" i="4" s="1"/>
  <c r="J558" i="4"/>
  <c r="V558" i="4" s="1"/>
  <c r="J559" i="4"/>
  <c r="P559" i="4" s="1"/>
  <c r="J560" i="4"/>
  <c r="P560" i="4" s="1"/>
  <c r="J561" i="4"/>
  <c r="X561" i="4" s="1"/>
  <c r="J562" i="4"/>
  <c r="J563" i="4"/>
  <c r="J564" i="4"/>
  <c r="J565" i="4"/>
  <c r="V565" i="4" s="1"/>
  <c r="J566" i="4"/>
  <c r="V566" i="4" s="1"/>
  <c r="J567" i="4"/>
  <c r="V567" i="4" s="1"/>
  <c r="J568" i="4"/>
  <c r="V568" i="4" s="1"/>
  <c r="J569" i="4"/>
  <c r="J570" i="4"/>
  <c r="X570" i="4" s="1"/>
  <c r="J571" i="4"/>
  <c r="J572" i="4"/>
  <c r="J573" i="4"/>
  <c r="V573" i="4" s="1"/>
  <c r="J574" i="4"/>
  <c r="P574" i="4" s="1"/>
  <c r="J575" i="4"/>
  <c r="J576" i="4"/>
  <c r="J577" i="4"/>
  <c r="J578" i="4"/>
  <c r="J579" i="4"/>
  <c r="J580" i="4"/>
  <c r="J581" i="4"/>
  <c r="X581" i="4" s="1"/>
  <c r="J582" i="4"/>
  <c r="V582" i="4" s="1"/>
  <c r="J583" i="4"/>
  <c r="V583" i="4" s="1"/>
  <c r="J584" i="4"/>
  <c r="V584" i="4" s="1"/>
  <c r="J585" i="4"/>
  <c r="J586" i="4"/>
  <c r="J587" i="4"/>
  <c r="J588" i="4"/>
  <c r="V588" i="4" s="1"/>
  <c r="J589" i="4"/>
  <c r="J590" i="4"/>
  <c r="X590" i="4" s="1"/>
  <c r="J591" i="4"/>
  <c r="P591" i="4" s="1"/>
  <c r="J592" i="4"/>
  <c r="J593" i="4"/>
  <c r="X593" i="4" s="1"/>
  <c r="J594" i="4"/>
  <c r="X594" i="4" s="1"/>
  <c r="J595" i="4"/>
  <c r="J596" i="4"/>
  <c r="J597" i="4"/>
  <c r="V597" i="4" s="1"/>
  <c r="J598" i="4"/>
  <c r="V598" i="4" s="1"/>
  <c r="J599" i="4"/>
  <c r="V599" i="4" s="1"/>
  <c r="J600" i="4"/>
  <c r="J601" i="4"/>
  <c r="J602" i="4"/>
  <c r="J603" i="4"/>
  <c r="J604" i="4"/>
  <c r="J605" i="4"/>
  <c r="V605" i="4" s="1"/>
  <c r="J606" i="4"/>
  <c r="P606" i="4" s="1"/>
  <c r="J607" i="4"/>
  <c r="V607" i="4" s="1"/>
  <c r="J608" i="4"/>
  <c r="V608" i="4" s="1"/>
  <c r="J609" i="4"/>
  <c r="J610" i="4"/>
  <c r="J611" i="4"/>
  <c r="J612" i="4"/>
  <c r="V612" i="4" s="1"/>
  <c r="J613" i="4"/>
  <c r="X613" i="4" s="1"/>
  <c r="J614" i="4"/>
  <c r="P614" i="4" s="1"/>
  <c r="J615" i="4"/>
  <c r="J616" i="4"/>
  <c r="J617" i="4"/>
  <c r="J618" i="4"/>
  <c r="J619" i="4"/>
  <c r="J620" i="4"/>
  <c r="J621" i="4"/>
  <c r="V621" i="4" s="1"/>
  <c r="J622" i="4"/>
  <c r="V622" i="4" s="1"/>
  <c r="J623" i="4"/>
  <c r="P623" i="4" s="1"/>
  <c r="J624" i="4"/>
  <c r="P624" i="4" s="1"/>
  <c r="J625" i="4"/>
  <c r="X625" i="4" s="1"/>
  <c r="J626" i="4"/>
  <c r="J627" i="4"/>
  <c r="J628" i="4"/>
  <c r="J629" i="4"/>
  <c r="V629" i="4" s="1"/>
  <c r="J630" i="4"/>
  <c r="V630" i="4" s="1"/>
  <c r="J631" i="4"/>
  <c r="V631" i="4" s="1"/>
  <c r="J632" i="4"/>
  <c r="V632" i="4" s="1"/>
  <c r="J633" i="4"/>
  <c r="J634" i="4"/>
  <c r="J635" i="4"/>
  <c r="J636" i="4"/>
  <c r="V636" i="4" s="1"/>
  <c r="J637" i="4"/>
  <c r="V637" i="4" s="1"/>
  <c r="J638" i="4"/>
  <c r="P638" i="4" s="1"/>
  <c r="J639" i="4"/>
  <c r="J640" i="4"/>
  <c r="J641" i="4"/>
  <c r="J642" i="4"/>
  <c r="J643" i="4"/>
  <c r="J644" i="4"/>
  <c r="J645" i="4"/>
  <c r="X645" i="4" s="1"/>
  <c r="J646" i="4"/>
  <c r="P646" i="4" s="1"/>
  <c r="J647" i="4"/>
  <c r="P647" i="4" s="1"/>
  <c r="J648" i="4"/>
  <c r="V648" i="4" s="1"/>
  <c r="J649" i="4"/>
  <c r="J650" i="4"/>
  <c r="J651" i="4"/>
  <c r="J652" i="4"/>
  <c r="V652" i="4" s="1"/>
  <c r="J653" i="4"/>
  <c r="J654" i="4"/>
  <c r="J655" i="4"/>
  <c r="J656" i="4"/>
  <c r="X656" i="4" s="1"/>
  <c r="J657" i="4"/>
  <c r="X657" i="4" s="1"/>
  <c r="J658" i="4"/>
  <c r="J659" i="4"/>
  <c r="J660" i="4"/>
  <c r="V660" i="4" s="1"/>
  <c r="J661" i="4"/>
  <c r="V661" i="4" s="1"/>
  <c r="J662" i="4"/>
  <c r="V662" i="4" s="1"/>
  <c r="J663" i="4"/>
  <c r="V663" i="4" s="1"/>
  <c r="J664" i="4"/>
  <c r="J665" i="4"/>
  <c r="J666" i="4"/>
  <c r="J667" i="4"/>
  <c r="J668" i="4"/>
  <c r="J669" i="4"/>
  <c r="V669" i="4" s="1"/>
  <c r="J670" i="4"/>
  <c r="V670" i="4" s="1"/>
  <c r="J671" i="4"/>
  <c r="X671" i="4" s="1"/>
  <c r="J672" i="4"/>
  <c r="V672" i="4" s="1"/>
  <c r="J673" i="4"/>
  <c r="J674" i="4"/>
  <c r="J675" i="4"/>
  <c r="J676" i="4"/>
  <c r="V676" i="4" s="1"/>
  <c r="J677" i="4"/>
  <c r="P677" i="4" s="1"/>
  <c r="J678" i="4"/>
  <c r="P678" i="4" s="1"/>
  <c r="J679" i="4"/>
  <c r="P679" i="4" s="1"/>
  <c r="J680" i="4"/>
  <c r="J681" i="4"/>
  <c r="J682" i="4"/>
  <c r="J683" i="4"/>
  <c r="J684" i="4"/>
  <c r="J685" i="4"/>
  <c r="V685" i="4" s="1"/>
  <c r="J686" i="4"/>
  <c r="V686" i="4" s="1"/>
  <c r="J687" i="4"/>
  <c r="V687" i="4" s="1"/>
  <c r="J688" i="4"/>
  <c r="V688" i="4" s="1"/>
  <c r="J689" i="4"/>
  <c r="J690" i="4"/>
  <c r="J691" i="4"/>
  <c r="J692" i="4"/>
  <c r="J693" i="4"/>
  <c r="V693" i="4" s="1"/>
  <c r="J694" i="4"/>
  <c r="V694" i="4" s="1"/>
  <c r="J695" i="4"/>
  <c r="V695" i="4" s="1"/>
  <c r="J696" i="4"/>
  <c r="V696" i="4" s="1"/>
  <c r="J697" i="4"/>
  <c r="J698" i="4"/>
  <c r="J699" i="4"/>
  <c r="J700" i="4"/>
  <c r="V700" i="4" s="1"/>
  <c r="J701" i="4"/>
  <c r="V701" i="4" s="1"/>
  <c r="J702" i="4"/>
  <c r="V702" i="4" s="1"/>
  <c r="J703" i="4"/>
  <c r="J704" i="4"/>
  <c r="J705" i="4"/>
  <c r="J706" i="4"/>
  <c r="J707" i="4"/>
  <c r="J708" i="4"/>
  <c r="J709" i="4"/>
  <c r="V709" i="4" s="1"/>
  <c r="J710" i="4"/>
  <c r="P710" i="4" s="1"/>
  <c r="J711" i="4"/>
  <c r="P711" i="4" s="1"/>
  <c r="J712" i="4"/>
  <c r="J713" i="4"/>
  <c r="J714" i="4"/>
  <c r="J715" i="4"/>
  <c r="J716" i="4"/>
  <c r="V716" i="4" s="1"/>
  <c r="J717" i="4"/>
  <c r="J718" i="4"/>
  <c r="P718" i="4" s="1"/>
  <c r="J719" i="4"/>
  <c r="J720" i="4"/>
  <c r="J721" i="4"/>
  <c r="J722" i="4"/>
  <c r="J723" i="4"/>
  <c r="J724" i="4"/>
  <c r="V724" i="4" s="1"/>
  <c r="J725" i="4"/>
  <c r="V725" i="4" s="1"/>
  <c r="J726" i="4"/>
  <c r="V726" i="4" s="1"/>
  <c r="J727" i="4"/>
  <c r="V727" i="4" s="1"/>
  <c r="J728" i="4"/>
  <c r="J729" i="4"/>
  <c r="X729" i="4" s="1"/>
  <c r="J730" i="4"/>
  <c r="X730" i="4" s="1"/>
  <c r="J731" i="4"/>
  <c r="J732" i="4"/>
  <c r="J733" i="4"/>
  <c r="P733" i="4" s="1"/>
  <c r="J734" i="4"/>
  <c r="V734" i="4" s="1"/>
  <c r="J735" i="4"/>
  <c r="V735" i="4" s="1"/>
  <c r="J736" i="4"/>
  <c r="V736" i="4" s="1"/>
  <c r="J737" i="4"/>
  <c r="J738" i="4"/>
  <c r="J739" i="4"/>
  <c r="J740" i="4"/>
  <c r="V740" i="4" s="1"/>
  <c r="J741" i="4"/>
  <c r="V741" i="4" s="1"/>
  <c r="J742" i="4"/>
  <c r="P742" i="4" s="1"/>
  <c r="J743" i="4"/>
  <c r="P743" i="4" s="1"/>
  <c r="J744" i="4"/>
  <c r="J745" i="4"/>
  <c r="J746" i="4"/>
  <c r="J747" i="4"/>
  <c r="J748" i="4"/>
  <c r="J749" i="4"/>
  <c r="V749" i="4" s="1"/>
  <c r="J750" i="4"/>
  <c r="P750" i="4" s="1"/>
  <c r="J751" i="4"/>
  <c r="P751" i="4" s="1"/>
  <c r="J752" i="4"/>
  <c r="V752" i="4" s="1"/>
  <c r="J753" i="4"/>
  <c r="J754" i="4"/>
  <c r="J755" i="4"/>
  <c r="J756" i="4"/>
  <c r="J757" i="4"/>
  <c r="V757" i="4" s="1"/>
  <c r="J758" i="4"/>
  <c r="V758" i="4" s="1"/>
  <c r="J759" i="4"/>
  <c r="V759" i="4" s="1"/>
  <c r="J760" i="4"/>
  <c r="P760" i="4" s="1"/>
  <c r="J761" i="4"/>
  <c r="X761" i="4" s="1"/>
  <c r="J762" i="4"/>
  <c r="X762" i="4" s="1"/>
  <c r="J763" i="4"/>
  <c r="J764" i="4"/>
  <c r="V764" i="4" s="1"/>
  <c r="J765" i="4"/>
  <c r="P765" i="4" s="1"/>
  <c r="J766" i="4"/>
  <c r="P766" i="4" s="1"/>
  <c r="J767" i="4"/>
  <c r="J768" i="4"/>
  <c r="J769" i="4"/>
  <c r="J770" i="4"/>
  <c r="J771" i="4"/>
  <c r="J772" i="4"/>
  <c r="J773" i="4"/>
  <c r="V773" i="4" s="1"/>
  <c r="J774" i="4"/>
  <c r="V774" i="4" s="1"/>
  <c r="J775" i="4"/>
  <c r="P775" i="4" s="1"/>
  <c r="J776" i="4"/>
  <c r="V776" i="4" s="1"/>
  <c r="J777" i="4"/>
  <c r="J778" i="4"/>
  <c r="J779" i="4"/>
  <c r="J780" i="4"/>
  <c r="V780" i="4" s="1"/>
  <c r="J781" i="4"/>
  <c r="J782" i="4"/>
  <c r="X782" i="4" s="1"/>
  <c r="J783" i="4"/>
  <c r="P783" i="4" s="1"/>
  <c r="J784" i="4"/>
  <c r="X784" i="4" s="1"/>
  <c r="J785" i="4"/>
  <c r="J786" i="4"/>
  <c r="J787" i="4"/>
  <c r="J788" i="4"/>
  <c r="V788" i="4" s="1"/>
  <c r="J789" i="4"/>
  <c r="V789" i="4" s="1"/>
  <c r="J790" i="4"/>
  <c r="V790" i="4" s="1"/>
  <c r="J791" i="4"/>
  <c r="V791" i="4" s="1"/>
  <c r="J792" i="4"/>
  <c r="J793" i="4"/>
  <c r="J794" i="4"/>
  <c r="J795" i="4"/>
  <c r="J796" i="4"/>
  <c r="J797" i="4"/>
  <c r="P797" i="4" s="1"/>
  <c r="J798" i="4"/>
  <c r="P798" i="4" s="1"/>
  <c r="J799" i="4"/>
  <c r="V799" i="4" s="1"/>
  <c r="J800" i="4"/>
  <c r="J801" i="4"/>
  <c r="J802" i="4"/>
  <c r="J803" i="4"/>
  <c r="J804" i="4"/>
  <c r="V804" i="4" s="1"/>
  <c r="J805" i="4"/>
  <c r="V805" i="4" s="1"/>
  <c r="J806" i="4"/>
  <c r="J807" i="4"/>
  <c r="X807" i="4" s="1"/>
  <c r="J808" i="4"/>
  <c r="J809" i="4"/>
  <c r="J810" i="4"/>
  <c r="J811" i="4"/>
  <c r="J812" i="4"/>
  <c r="J813" i="4"/>
  <c r="V813" i="4" s="1"/>
  <c r="J814" i="4"/>
  <c r="X814" i="4" s="1"/>
  <c r="J815" i="4"/>
  <c r="P815" i="4" s="1"/>
  <c r="J816" i="4"/>
  <c r="P816" i="4" s="1"/>
  <c r="J817" i="4"/>
  <c r="X817" i="4" s="1"/>
  <c r="J818" i="4"/>
  <c r="J819" i="4"/>
  <c r="J820" i="4"/>
  <c r="J821" i="4"/>
  <c r="V821" i="4" s="1"/>
  <c r="J822" i="4"/>
  <c r="V822" i="4" s="1"/>
  <c r="J823" i="4"/>
  <c r="V823" i="4" s="1"/>
  <c r="J824" i="4"/>
  <c r="V824" i="4" s="1"/>
  <c r="J825" i="4"/>
  <c r="J826" i="4"/>
  <c r="J827" i="4"/>
  <c r="J828" i="4"/>
  <c r="V828" i="4" s="1"/>
  <c r="J829" i="4"/>
  <c r="P829" i="4" s="1"/>
  <c r="J830" i="4"/>
  <c r="V830" i="4" s="1"/>
  <c r="J831" i="4"/>
  <c r="J832" i="4"/>
  <c r="J833" i="4"/>
  <c r="V833" i="4" s="1"/>
  <c r="J834" i="4"/>
  <c r="J835" i="4"/>
  <c r="J836" i="4"/>
  <c r="V836" i="4" s="1"/>
  <c r="J837" i="4"/>
  <c r="V837" i="4" s="1"/>
  <c r="J838" i="4"/>
  <c r="J839" i="4"/>
  <c r="J840" i="4"/>
  <c r="J841" i="4"/>
  <c r="J842" i="4"/>
  <c r="J843" i="4"/>
  <c r="V843" i="4" s="1"/>
  <c r="J844" i="4"/>
  <c r="V844" i="4" s="1"/>
  <c r="J845" i="4"/>
  <c r="V845" i="4" s="1"/>
  <c r="J846" i="4"/>
  <c r="V846" i="4" s="1"/>
  <c r="J847" i="4"/>
  <c r="P847" i="4" s="1"/>
  <c r="J848" i="4"/>
  <c r="J849" i="4"/>
  <c r="J850" i="4"/>
  <c r="J851" i="4"/>
  <c r="V851" i="4" s="1"/>
  <c r="J852" i="4"/>
  <c r="J853" i="4"/>
  <c r="V853" i="4" s="1"/>
  <c r="J854" i="4"/>
  <c r="V854" i="4" s="1"/>
  <c r="J855" i="4"/>
  <c r="J856" i="4"/>
  <c r="J857" i="4"/>
  <c r="J858" i="4"/>
  <c r="J859" i="4"/>
  <c r="J860" i="4"/>
  <c r="V860" i="4" s="1"/>
  <c r="J861" i="4"/>
  <c r="P861" i="4" s="1"/>
  <c r="J862" i="4"/>
  <c r="X862" i="4" s="1"/>
  <c r="J863" i="4"/>
  <c r="X863" i="4" s="1"/>
  <c r="J864" i="4"/>
  <c r="J865" i="4"/>
  <c r="J866" i="4"/>
  <c r="X866" i="4" s="1"/>
  <c r="J867" i="4"/>
  <c r="J868" i="4"/>
  <c r="J869" i="4"/>
  <c r="P869" i="4" s="1"/>
  <c r="J870" i="4"/>
  <c r="V870" i="4" s="1"/>
  <c r="J871" i="4"/>
  <c r="J872" i="4"/>
  <c r="J873" i="4"/>
  <c r="J874" i="4"/>
  <c r="J875" i="4"/>
  <c r="V875" i="4" s="1"/>
  <c r="J876" i="4"/>
  <c r="V876" i="4" s="1"/>
  <c r="J877" i="4"/>
  <c r="V877" i="4" s="1"/>
  <c r="J878" i="4"/>
  <c r="V878" i="4" s="1"/>
  <c r="J879" i="4"/>
  <c r="P879" i="4" s="1"/>
  <c r="J880" i="4"/>
  <c r="J881" i="4"/>
  <c r="J882" i="4"/>
  <c r="J883" i="4"/>
  <c r="V883" i="4" s="1"/>
  <c r="J884" i="4"/>
  <c r="J885" i="4"/>
  <c r="V885" i="4" s="1"/>
  <c r="J886" i="4"/>
  <c r="V886" i="4" s="1"/>
  <c r="J887" i="4"/>
  <c r="J888" i="4"/>
  <c r="J889" i="4"/>
  <c r="J890" i="4"/>
  <c r="J891" i="4"/>
  <c r="V891" i="4" s="1"/>
  <c r="J892" i="4"/>
  <c r="V892" i="4" s="1"/>
  <c r="J893" i="4"/>
  <c r="P893" i="4" s="1"/>
  <c r="J894" i="4"/>
  <c r="V894" i="4" s="1"/>
  <c r="J895" i="4"/>
  <c r="J896" i="4"/>
  <c r="J897" i="4"/>
  <c r="X897" i="4" s="1"/>
  <c r="J898" i="4"/>
  <c r="J899" i="4"/>
  <c r="P899" i="4" s="1"/>
  <c r="J900" i="4"/>
  <c r="J901" i="4"/>
  <c r="P901" i="4" s="1"/>
  <c r="J902" i="4"/>
  <c r="V902" i="4" s="1"/>
  <c r="J903" i="4"/>
  <c r="J904" i="4"/>
  <c r="J905" i="4"/>
  <c r="J906" i="4"/>
  <c r="J907" i="4"/>
  <c r="J908" i="4"/>
  <c r="V908" i="4" s="1"/>
  <c r="J909" i="4"/>
  <c r="P909" i="4" s="1"/>
  <c r="J910" i="4"/>
  <c r="P910" i="4" s="1"/>
  <c r="J911" i="4"/>
  <c r="X911" i="4" s="1"/>
  <c r="J912" i="4"/>
  <c r="J913" i="4"/>
  <c r="J914" i="4"/>
  <c r="J915" i="4"/>
  <c r="V915" i="4" s="1"/>
  <c r="J916" i="4"/>
  <c r="J917" i="4"/>
  <c r="P917" i="4" s="1"/>
  <c r="J918" i="4"/>
  <c r="V918" i="4" s="1"/>
  <c r="J919" i="4"/>
  <c r="J920" i="4"/>
  <c r="J921" i="4"/>
  <c r="J922" i="4"/>
  <c r="J923" i="4"/>
  <c r="V923" i="4" s="1"/>
  <c r="J924" i="4"/>
  <c r="V924" i="4" s="1"/>
  <c r="J925" i="4"/>
  <c r="P925" i="4" s="1"/>
  <c r="J926" i="4"/>
  <c r="P926" i="4" s="1"/>
  <c r="J927" i="4"/>
  <c r="P927" i="4" s="1"/>
  <c r="J928" i="4"/>
  <c r="J929" i="4"/>
  <c r="J930" i="4"/>
  <c r="J931" i="4"/>
  <c r="V931" i="4" s="1"/>
  <c r="J932" i="4"/>
  <c r="J933" i="4"/>
  <c r="V933" i="4" s="1"/>
  <c r="J934" i="4"/>
  <c r="V934" i="4" s="1"/>
  <c r="J935" i="4"/>
  <c r="J936" i="4"/>
  <c r="J937" i="4"/>
  <c r="J938" i="4"/>
  <c r="J939" i="4"/>
  <c r="J940" i="4"/>
  <c r="V940" i="4" s="1"/>
  <c r="J941" i="4"/>
  <c r="V941" i="4" s="1"/>
  <c r="J942" i="4"/>
  <c r="V942" i="4" s="1"/>
  <c r="J943" i="4"/>
  <c r="P943" i="4" s="1"/>
  <c r="J944" i="4"/>
  <c r="J945" i="4"/>
  <c r="J946" i="4"/>
  <c r="J947" i="4"/>
  <c r="V947" i="4" s="1"/>
  <c r="J948" i="4"/>
  <c r="J949" i="4"/>
  <c r="V949" i="4" s="1"/>
  <c r="J950" i="4"/>
  <c r="V950" i="4" s="1"/>
  <c r="J951" i="4"/>
  <c r="J952" i="4"/>
  <c r="J953" i="4"/>
  <c r="J954" i="4"/>
  <c r="J955" i="4"/>
  <c r="J956" i="4"/>
  <c r="V956" i="4" s="1"/>
  <c r="J957" i="4"/>
  <c r="P957" i="4" s="1"/>
  <c r="J958" i="4"/>
  <c r="V958" i="4" s="1"/>
  <c r="J959" i="4"/>
  <c r="J960" i="4"/>
  <c r="J961" i="4"/>
  <c r="X961" i="4" s="1"/>
  <c r="J962" i="4"/>
  <c r="J963" i="4"/>
  <c r="J964" i="4"/>
  <c r="J965" i="4"/>
  <c r="X965" i="4" s="1"/>
  <c r="J966" i="4"/>
  <c r="V966" i="4" s="1"/>
  <c r="J967" i="4"/>
  <c r="J968" i="4"/>
  <c r="J969" i="4"/>
  <c r="J970" i="4"/>
  <c r="J971" i="4"/>
  <c r="V971" i="4" s="1"/>
  <c r="J972" i="4"/>
  <c r="V972" i="4" s="1"/>
  <c r="J973" i="4"/>
  <c r="V973" i="4" s="1"/>
  <c r="J974" i="4"/>
  <c r="V974" i="4" s="1"/>
  <c r="J975" i="4"/>
  <c r="J976" i="4"/>
  <c r="J977" i="4"/>
  <c r="J978" i="4"/>
  <c r="V978" i="4" s="1"/>
  <c r="J979" i="4"/>
  <c r="J980" i="4"/>
  <c r="V980" i="4" s="1"/>
  <c r="J981" i="4"/>
  <c r="P981" i="4" s="1"/>
  <c r="J982" i="4"/>
  <c r="V982" i="4" s="1"/>
  <c r="J983" i="4"/>
  <c r="J984" i="4"/>
  <c r="J985" i="4"/>
  <c r="J986" i="4"/>
  <c r="J987" i="4"/>
  <c r="J988" i="4"/>
  <c r="V988" i="4" s="1"/>
  <c r="J989" i="4"/>
  <c r="V989" i="4" s="1"/>
  <c r="J990" i="4"/>
  <c r="V990" i="4" s="1"/>
  <c r="J991" i="4"/>
  <c r="J992" i="4"/>
  <c r="J993" i="4"/>
  <c r="X993" i="4" s="1"/>
  <c r="J994" i="4"/>
  <c r="J995" i="4"/>
  <c r="V995" i="4" s="1"/>
  <c r="J996" i="4"/>
  <c r="V996" i="4" s="1"/>
  <c r="J997" i="4"/>
  <c r="P997" i="4" s="1"/>
  <c r="J998" i="4"/>
  <c r="V998" i="4" s="1"/>
  <c r="J999" i="4"/>
  <c r="J1000" i="4"/>
  <c r="J1001" i="4"/>
  <c r="J1002" i="4"/>
  <c r="J1003" i="4"/>
  <c r="J1004" i="4"/>
  <c r="X1004" i="4" s="1"/>
  <c r="J1005" i="4"/>
  <c r="X1005" i="4" s="1"/>
  <c r="J1006" i="4"/>
  <c r="X1006" i="4" s="1"/>
  <c r="J1007" i="4"/>
  <c r="J1008" i="4"/>
  <c r="J1009" i="4"/>
  <c r="X1009" i="4" s="1"/>
  <c r="J1010" i="4"/>
  <c r="P1010" i="4" s="1"/>
  <c r="J1011" i="4"/>
  <c r="V1011" i="4" s="1"/>
  <c r="J1012" i="4"/>
  <c r="V1012" i="4" s="1"/>
  <c r="J1013" i="4"/>
  <c r="X1013" i="4" s="1"/>
  <c r="J1014" i="4"/>
  <c r="V1014" i="4" s="1"/>
  <c r="J1015" i="4"/>
  <c r="J1016" i="4"/>
  <c r="J1017" i="4"/>
  <c r="J1018" i="4"/>
  <c r="J1019" i="4"/>
  <c r="J1020" i="4"/>
  <c r="V1020" i="4" s="1"/>
  <c r="J1021" i="4"/>
  <c r="P1021" i="4" s="1"/>
  <c r="J1022" i="4"/>
  <c r="V1022" i="4" s="1"/>
  <c r="J1023" i="4"/>
  <c r="J1024" i="4"/>
  <c r="J1025" i="4"/>
  <c r="X1025" i="4" s="1"/>
  <c r="J1026" i="4"/>
  <c r="J1027" i="4"/>
  <c r="V1027" i="4" s="1"/>
  <c r="J1028" i="4"/>
  <c r="V1028" i="4" s="1"/>
  <c r="J1029" i="4"/>
  <c r="X1029" i="4" s="1"/>
  <c r="J1030" i="4"/>
  <c r="V1030" i="4" s="1"/>
  <c r="J1031" i="4"/>
  <c r="J1032" i="4"/>
  <c r="J1033" i="4"/>
  <c r="X1033" i="4" s="1"/>
  <c r="J1034" i="4"/>
  <c r="J1035" i="4"/>
  <c r="V1035" i="4" s="1"/>
  <c r="J1036" i="4"/>
  <c r="V1036" i="4" s="1"/>
  <c r="J1037" i="4"/>
  <c r="V1037" i="4" s="1"/>
  <c r="J1038" i="4"/>
  <c r="V1038" i="4" s="1"/>
  <c r="J1039" i="4"/>
  <c r="J1040" i="4"/>
  <c r="J1041" i="4"/>
  <c r="J1042" i="4"/>
  <c r="V1042" i="4" s="1"/>
  <c r="J1043" i="4"/>
  <c r="J1044" i="4"/>
  <c r="V1044" i="4" s="1"/>
  <c r="J1045" i="4"/>
  <c r="P1045" i="4" s="1"/>
  <c r="J1046" i="4"/>
  <c r="V1046" i="4" s="1"/>
  <c r="J1047" i="4"/>
  <c r="J1048" i="4"/>
  <c r="J1049" i="4"/>
  <c r="X1049" i="4" s="1"/>
  <c r="J1050" i="4"/>
  <c r="V1050" i="4" s="1"/>
  <c r="J1051" i="4"/>
  <c r="V1051" i="4" s="1"/>
  <c r="J1052" i="4"/>
  <c r="X1052" i="4" s="1"/>
  <c r="J1053" i="4"/>
  <c r="X1053" i="4" s="1"/>
  <c r="J1054" i="4"/>
  <c r="V1054" i="4" s="1"/>
  <c r="J1055" i="4"/>
  <c r="J1056" i="4"/>
  <c r="J1057" i="4"/>
  <c r="J1058" i="4"/>
  <c r="J1059" i="4"/>
  <c r="J1060" i="4"/>
  <c r="V1060" i="4" s="1"/>
  <c r="J1061" i="4"/>
  <c r="P1061" i="4" s="1"/>
  <c r="J1062" i="4"/>
  <c r="V1062" i="4" s="1"/>
  <c r="J1063" i="4"/>
  <c r="J1064" i="4"/>
  <c r="J1065" i="4"/>
  <c r="J1066" i="4"/>
  <c r="J1067" i="4"/>
  <c r="J1068" i="4"/>
  <c r="P1068" i="4" s="1"/>
  <c r="J1069" i="4"/>
  <c r="P1069" i="4" s="1"/>
  <c r="J1070" i="4"/>
  <c r="T1070" i="4" s="1"/>
  <c r="J1071" i="4"/>
  <c r="J1072" i="4"/>
  <c r="J1073" i="4"/>
  <c r="X1073" i="4" s="1"/>
  <c r="J1074" i="4"/>
  <c r="J1075" i="4"/>
  <c r="J1076" i="4"/>
  <c r="V1076" i="4" s="1"/>
  <c r="J1077" i="4"/>
  <c r="V1077" i="4" s="1"/>
  <c r="J1078" i="4"/>
  <c r="V1078" i="4" s="1"/>
  <c r="J1079" i="4"/>
  <c r="J1080" i="4"/>
  <c r="J1081" i="4"/>
  <c r="J1082" i="4"/>
  <c r="J1083" i="4"/>
  <c r="V1083" i="4" s="1"/>
  <c r="J1084" i="4"/>
  <c r="P1084" i="4" s="1"/>
  <c r="J1085" i="4"/>
  <c r="P1085" i="4" s="1"/>
  <c r="J1086" i="4"/>
  <c r="V1086" i="4" s="1"/>
  <c r="J1087" i="4"/>
  <c r="J1088" i="4"/>
  <c r="J1089" i="4"/>
  <c r="X1089" i="4" s="1"/>
  <c r="J1090" i="4"/>
  <c r="J1091" i="4"/>
  <c r="J1092" i="4"/>
  <c r="V1092" i="4" s="1"/>
  <c r="J1093" i="4"/>
  <c r="T1093" i="4" s="1"/>
  <c r="J1094" i="4"/>
  <c r="X1094" i="4" s="1"/>
  <c r="J1095" i="4"/>
  <c r="J1096" i="4"/>
  <c r="J1097" i="4"/>
  <c r="J1098" i="4"/>
  <c r="V1098" i="4" s="1"/>
  <c r="J1099" i="4"/>
  <c r="V1099" i="4" s="1"/>
  <c r="J1100" i="4"/>
  <c r="V1100" i="4" s="1"/>
  <c r="J1101" i="4"/>
  <c r="V1101" i="4" s="1"/>
  <c r="J1102" i="4"/>
  <c r="V1102" i="4" s="1"/>
  <c r="J1103" i="4"/>
  <c r="J1104" i="4"/>
  <c r="J1105" i="4"/>
  <c r="J1106" i="4"/>
  <c r="V1106" i="4" s="1"/>
  <c r="J1107" i="4"/>
  <c r="P1107" i="4" s="1"/>
  <c r="J1108" i="4"/>
  <c r="P1108" i="4" s="1"/>
  <c r="J1109" i="4"/>
  <c r="P1109" i="4" s="1"/>
  <c r="J1110" i="4"/>
  <c r="V1110" i="4" s="1"/>
  <c r="J1111" i="4"/>
  <c r="J1112" i="4"/>
  <c r="J1113" i="4"/>
  <c r="X1113" i="4" s="1"/>
  <c r="J1114" i="4"/>
  <c r="J1115" i="4"/>
  <c r="J1116" i="4"/>
  <c r="V1116" i="4" s="1"/>
  <c r="J1117" i="4"/>
  <c r="V1117" i="4" s="1"/>
  <c r="J1118" i="4"/>
  <c r="P1118" i="4" s="1"/>
  <c r="J1119" i="4"/>
  <c r="J1120" i="4"/>
  <c r="J1121" i="4"/>
  <c r="J1122" i="4"/>
  <c r="J1123" i="4"/>
  <c r="V1123" i="4" s="1"/>
  <c r="J1124" i="4"/>
  <c r="P1124" i="4" s="1"/>
  <c r="J1125" i="4"/>
  <c r="P1125" i="4" s="1"/>
  <c r="J1126" i="4"/>
  <c r="V1126" i="4" s="1"/>
  <c r="J1127" i="4"/>
  <c r="J1128" i="4"/>
  <c r="J1129" i="4"/>
  <c r="J1130" i="4"/>
  <c r="J1131" i="4"/>
  <c r="J1132" i="4"/>
  <c r="V1132" i="4" s="1"/>
  <c r="J1133" i="4"/>
  <c r="V1133" i="4" s="1"/>
  <c r="J1134" i="4"/>
  <c r="V1134" i="4" s="1"/>
  <c r="J1135" i="4"/>
  <c r="J1136" i="4"/>
  <c r="J1137" i="4"/>
  <c r="J1138" i="4"/>
  <c r="V1138" i="4" s="1"/>
  <c r="J1139" i="4"/>
  <c r="V1139" i="4" s="1"/>
  <c r="J1140" i="4"/>
  <c r="V1140" i="4" s="1"/>
  <c r="J1141" i="4"/>
  <c r="V1141" i="4" s="1"/>
  <c r="J1142" i="4"/>
  <c r="V1142" i="4" s="1"/>
  <c r="J1143" i="4"/>
  <c r="J1144" i="4"/>
  <c r="J1145" i="4"/>
  <c r="J1146" i="4"/>
  <c r="J1147" i="4"/>
  <c r="P1147" i="4" s="1"/>
  <c r="J1148" i="4"/>
  <c r="P1148" i="4" s="1"/>
  <c r="J1149" i="4"/>
  <c r="P1149" i="4" s="1"/>
  <c r="J1150" i="4"/>
  <c r="V1150" i="4" s="1"/>
  <c r="J1151" i="4"/>
  <c r="O34" i="4" l="1"/>
  <c r="J34" i="4" s="1"/>
  <c r="O30" i="4"/>
  <c r="J30" i="4" s="1"/>
  <c r="O29" i="4"/>
  <c r="J29" i="4" s="1"/>
  <c r="O28" i="4"/>
  <c r="J28" i="4" s="1"/>
  <c r="V519" i="4"/>
  <c r="X624" i="4"/>
  <c r="V647" i="4"/>
  <c r="X623" i="4"/>
  <c r="X504" i="4"/>
  <c r="X390" i="4"/>
  <c r="X230" i="4"/>
  <c r="V814" i="4"/>
  <c r="X847" i="4"/>
  <c r="V495" i="4"/>
  <c r="V303" i="4"/>
  <c r="X527" i="4"/>
  <c r="V910" i="4"/>
  <c r="V775" i="4"/>
  <c r="V574" i="4"/>
  <c r="V494" i="4"/>
  <c r="V391" i="4"/>
  <c r="X783" i="4"/>
  <c r="V1118" i="4"/>
  <c r="V671" i="4"/>
  <c r="V623" i="4"/>
  <c r="V390" i="4"/>
  <c r="X1010" i="4"/>
  <c r="X742" i="4"/>
  <c r="X495" i="4"/>
  <c r="X870" i="4"/>
  <c r="V1070" i="4"/>
  <c r="V646" i="4"/>
  <c r="X574" i="4"/>
  <c r="X846" i="4"/>
  <c r="V751" i="4"/>
  <c r="V455" i="4"/>
  <c r="X679" i="4"/>
  <c r="P1053" i="4"/>
  <c r="V1094" i="4"/>
  <c r="V606" i="4"/>
  <c r="X926" i="4"/>
  <c r="V326" i="4"/>
  <c r="V750" i="4"/>
  <c r="V366" i="4"/>
  <c r="X943" i="4"/>
  <c r="X678" i="4"/>
  <c r="X391" i="4"/>
  <c r="P1014" i="4"/>
  <c r="V917" i="4"/>
  <c r="V1029" i="4"/>
  <c r="V1005" i="4"/>
  <c r="X1093" i="4"/>
  <c r="X957" i="4"/>
  <c r="U405" i="4"/>
  <c r="V581" i="4"/>
  <c r="X765" i="4"/>
  <c r="V997" i="4"/>
  <c r="V909" i="4"/>
  <c r="X1085" i="4"/>
  <c r="X389" i="4"/>
  <c r="X1069" i="4"/>
  <c r="X677" i="4"/>
  <c r="T1006" i="4"/>
  <c r="V1093" i="4"/>
  <c r="V1069" i="4"/>
  <c r="V965" i="4"/>
  <c r="V901" i="4"/>
  <c r="V869" i="4"/>
  <c r="V798" i="4"/>
  <c r="V766" i="4"/>
  <c r="V711" i="4"/>
  <c r="V645" i="4"/>
  <c r="V543" i="4"/>
  <c r="V453" i="4"/>
  <c r="V421" i="4"/>
  <c r="V389" i="4"/>
  <c r="V351" i="4"/>
  <c r="V293" i="4"/>
  <c r="X1133" i="4"/>
  <c r="X1061" i="4"/>
  <c r="X917" i="4"/>
  <c r="X837" i="4"/>
  <c r="X647" i="4"/>
  <c r="X462" i="4"/>
  <c r="X366" i="4"/>
  <c r="X185" i="4"/>
  <c r="P1013" i="4"/>
  <c r="T229" i="4"/>
  <c r="V1053" i="4"/>
  <c r="X709" i="4"/>
  <c r="V1052" i="4"/>
  <c r="X1021" i="4"/>
  <c r="X869" i="4"/>
  <c r="V1125" i="4"/>
  <c r="X229" i="4"/>
  <c r="T750" i="4"/>
  <c r="V1013" i="4"/>
  <c r="V926" i="4"/>
  <c r="V862" i="4"/>
  <c r="V765" i="4"/>
  <c r="V710" i="4"/>
  <c r="V638" i="4"/>
  <c r="V613" i="4"/>
  <c r="V542" i="4"/>
  <c r="V510" i="4"/>
  <c r="V382" i="4"/>
  <c r="X1132" i="4"/>
  <c r="X1050" i="4"/>
  <c r="X997" i="4"/>
  <c r="X815" i="4"/>
  <c r="X646" i="4"/>
  <c r="X326" i="4"/>
  <c r="P863" i="4"/>
  <c r="V253" i="4"/>
  <c r="X605" i="4"/>
  <c r="T1069" i="4"/>
  <c r="V1149" i="4"/>
  <c r="V1021" i="4"/>
  <c r="X1149" i="4"/>
  <c r="X925" i="4"/>
  <c r="X733" i="4"/>
  <c r="T509" i="4"/>
  <c r="V1061" i="4"/>
  <c r="V957" i="4"/>
  <c r="V925" i="4"/>
  <c r="V893" i="4"/>
  <c r="V861" i="4"/>
  <c r="V560" i="4"/>
  <c r="V509" i="4"/>
  <c r="V343" i="4"/>
  <c r="V205" i="4"/>
  <c r="X1125" i="4"/>
  <c r="X981" i="4"/>
  <c r="X893" i="4"/>
  <c r="X711" i="4"/>
  <c r="X560" i="4"/>
  <c r="X288" i="4"/>
  <c r="P807" i="4"/>
  <c r="P1052" i="4"/>
  <c r="V1045" i="4"/>
  <c r="V165" i="4"/>
  <c r="V1109" i="4"/>
  <c r="V1085" i="4"/>
  <c r="V1006" i="4"/>
  <c r="V981" i="4"/>
  <c r="V815" i="4"/>
  <c r="V677" i="4"/>
  <c r="V559" i="4"/>
  <c r="X1109" i="4"/>
  <c r="X1045" i="4"/>
  <c r="X879" i="4"/>
  <c r="X710" i="4"/>
  <c r="X541" i="4"/>
  <c r="X423" i="4"/>
  <c r="X165" i="4"/>
  <c r="P543" i="4"/>
  <c r="P1115" i="4"/>
  <c r="X1115" i="4"/>
  <c r="P1059" i="4"/>
  <c r="X1059" i="4"/>
  <c r="S1003" i="4"/>
  <c r="P1003" i="4"/>
  <c r="X1003" i="4"/>
  <c r="P955" i="4"/>
  <c r="X955" i="4"/>
  <c r="X859" i="4"/>
  <c r="P859" i="4"/>
  <c r="P811" i="4"/>
  <c r="X811" i="4"/>
  <c r="V811" i="4"/>
  <c r="X771" i="4"/>
  <c r="P771" i="4"/>
  <c r="V771" i="4"/>
  <c r="P731" i="4"/>
  <c r="X731" i="4"/>
  <c r="V731" i="4"/>
  <c r="P683" i="4"/>
  <c r="X683" i="4"/>
  <c r="V683" i="4"/>
  <c r="U635" i="4"/>
  <c r="P635" i="4"/>
  <c r="X635" i="4"/>
  <c r="V635" i="4"/>
  <c r="T579" i="4"/>
  <c r="P579" i="4"/>
  <c r="X579" i="4"/>
  <c r="V579" i="4"/>
  <c r="T515" i="4"/>
  <c r="X515" i="4"/>
  <c r="V515" i="4"/>
  <c r="T475" i="4"/>
  <c r="P475" i="4"/>
  <c r="X475" i="4"/>
  <c r="V475" i="4"/>
  <c r="X427" i="4"/>
  <c r="P427" i="4"/>
  <c r="V427" i="4"/>
  <c r="X387" i="4"/>
  <c r="P387" i="4"/>
  <c r="V387" i="4"/>
  <c r="T339" i="4"/>
  <c r="P339" i="4"/>
  <c r="X339" i="4"/>
  <c r="V339" i="4"/>
  <c r="P283" i="4"/>
  <c r="X283" i="4"/>
  <c r="V283" i="4"/>
  <c r="T211" i="4"/>
  <c r="P211" i="4"/>
  <c r="X211" i="4"/>
  <c r="V211" i="4"/>
  <c r="U171" i="4"/>
  <c r="P171" i="4"/>
  <c r="X171" i="4"/>
  <c r="V171" i="4"/>
  <c r="T115" i="4"/>
  <c r="P115" i="4"/>
  <c r="X115" i="4"/>
  <c r="V115" i="4"/>
  <c r="P35" i="4"/>
  <c r="V35" i="4"/>
  <c r="X35" i="4"/>
  <c r="V899" i="4"/>
  <c r="T1130" i="4"/>
  <c r="P1130" i="4"/>
  <c r="X1130" i="4"/>
  <c r="T1090" i="4"/>
  <c r="P1090" i="4"/>
  <c r="X1090" i="4"/>
  <c r="P1058" i="4"/>
  <c r="X1058" i="4"/>
  <c r="T1026" i="4"/>
  <c r="P1026" i="4"/>
  <c r="X1026" i="4"/>
  <c r="T986" i="4"/>
  <c r="P986" i="4"/>
  <c r="P946" i="4"/>
  <c r="X946" i="4"/>
  <c r="V946" i="4"/>
  <c r="T898" i="4"/>
  <c r="P898" i="4"/>
  <c r="V898" i="4"/>
  <c r="T850" i="4"/>
  <c r="P850" i="4"/>
  <c r="X850" i="4"/>
  <c r="V850" i="4"/>
  <c r="T794" i="4"/>
  <c r="P794" i="4"/>
  <c r="V794" i="4"/>
  <c r="V754" i="4"/>
  <c r="X754" i="4"/>
  <c r="P714" i="4"/>
  <c r="X714" i="4"/>
  <c r="V714" i="4"/>
  <c r="P674" i="4"/>
  <c r="V674" i="4"/>
  <c r="X674" i="4"/>
  <c r="T634" i="4"/>
  <c r="P634" i="4"/>
  <c r="X634" i="4"/>
  <c r="V634" i="4"/>
  <c r="T602" i="4"/>
  <c r="P602" i="4"/>
  <c r="V602" i="4"/>
  <c r="X602" i="4"/>
  <c r="P562" i="4"/>
  <c r="X562" i="4"/>
  <c r="V562" i="4"/>
  <c r="P522" i="4"/>
  <c r="X522" i="4"/>
  <c r="V522" i="4"/>
  <c r="P482" i="4"/>
  <c r="X482" i="4"/>
  <c r="V482" i="4"/>
  <c r="T450" i="4"/>
  <c r="P450" i="4"/>
  <c r="V450" i="4"/>
  <c r="X450" i="4"/>
  <c r="P378" i="4"/>
  <c r="X378" i="4"/>
  <c r="V378" i="4"/>
  <c r="T330" i="4"/>
  <c r="P330" i="4"/>
  <c r="X330" i="4"/>
  <c r="V330" i="4"/>
  <c r="P282" i="4"/>
  <c r="X282" i="4"/>
  <c r="V282" i="4"/>
  <c r="U250" i="4"/>
  <c r="P250" i="4"/>
  <c r="X250" i="4"/>
  <c r="V250" i="4"/>
  <c r="T210" i="4"/>
  <c r="P210" i="4"/>
  <c r="X210" i="4"/>
  <c r="V210" i="4"/>
  <c r="P170" i="4"/>
  <c r="X170" i="4"/>
  <c r="V170" i="4"/>
  <c r="X138" i="4"/>
  <c r="P138" i="4"/>
  <c r="V138" i="4"/>
  <c r="P98" i="4"/>
  <c r="X98" i="4"/>
  <c r="V98" i="4"/>
  <c r="P42" i="4"/>
  <c r="X42" i="4"/>
  <c r="P1105" i="4"/>
  <c r="X1105" i="4"/>
  <c r="V1105" i="4"/>
  <c r="P1057" i="4"/>
  <c r="X1057" i="4"/>
  <c r="V1057" i="4"/>
  <c r="P1009" i="4"/>
  <c r="V1009" i="4"/>
  <c r="P969" i="4"/>
  <c r="V969" i="4"/>
  <c r="X913" i="4"/>
  <c r="V913" i="4"/>
  <c r="P865" i="4"/>
  <c r="X865" i="4"/>
  <c r="V865" i="4"/>
  <c r="P825" i="4"/>
  <c r="X825" i="4"/>
  <c r="P785" i="4"/>
  <c r="X785" i="4"/>
  <c r="V785" i="4"/>
  <c r="X745" i="4"/>
  <c r="V745" i="4"/>
  <c r="P681" i="4"/>
  <c r="X681" i="4"/>
  <c r="V681" i="4"/>
  <c r="P633" i="4"/>
  <c r="X633" i="4"/>
  <c r="V633" i="4"/>
  <c r="P585" i="4"/>
  <c r="X585" i="4"/>
  <c r="V585" i="4"/>
  <c r="P537" i="4"/>
  <c r="V537" i="4"/>
  <c r="P473" i="4"/>
  <c r="V473" i="4"/>
  <c r="P433" i="4"/>
  <c r="V433" i="4"/>
  <c r="V401" i="4"/>
  <c r="X401" i="4"/>
  <c r="T345" i="4"/>
  <c r="P345" i="4"/>
  <c r="X345" i="4"/>
  <c r="V345" i="4"/>
  <c r="P305" i="4"/>
  <c r="V305" i="4"/>
  <c r="X305" i="4"/>
  <c r="P257" i="4"/>
  <c r="X257" i="4"/>
  <c r="P137" i="4"/>
  <c r="V137" i="4"/>
  <c r="X137" i="4"/>
  <c r="P97" i="4"/>
  <c r="X97" i="4"/>
  <c r="P33" i="4"/>
  <c r="X33" i="4"/>
  <c r="V1090" i="4"/>
  <c r="V1026" i="4"/>
  <c r="P1144" i="4"/>
  <c r="X1144" i="4"/>
  <c r="V1144" i="4"/>
  <c r="P1112" i="4"/>
  <c r="X1112" i="4"/>
  <c r="V1112" i="4"/>
  <c r="P1072" i="4"/>
  <c r="X1072" i="4"/>
  <c r="V1072" i="4"/>
  <c r="P1040" i="4"/>
  <c r="X1040" i="4"/>
  <c r="V1040" i="4"/>
  <c r="P1000" i="4"/>
  <c r="X1000" i="4"/>
  <c r="V1000" i="4"/>
  <c r="P968" i="4"/>
  <c r="X968" i="4"/>
  <c r="V968" i="4"/>
  <c r="P936" i="4"/>
  <c r="X936" i="4"/>
  <c r="V936" i="4"/>
  <c r="X912" i="4"/>
  <c r="P912" i="4"/>
  <c r="V912" i="4"/>
  <c r="U872" i="4"/>
  <c r="P872" i="4"/>
  <c r="X872" i="4"/>
  <c r="V872" i="4"/>
  <c r="P832" i="4"/>
  <c r="X832" i="4"/>
  <c r="V832" i="4"/>
  <c r="P800" i="4"/>
  <c r="X800" i="4"/>
  <c r="P592" i="4"/>
  <c r="V592" i="4"/>
  <c r="P576" i="4"/>
  <c r="X576" i="4"/>
  <c r="V576" i="4"/>
  <c r="P552" i="4"/>
  <c r="X552" i="4"/>
  <c r="V552" i="4"/>
  <c r="U528" i="4"/>
  <c r="P528" i="4"/>
  <c r="V528" i="4"/>
  <c r="X512" i="4"/>
  <c r="P512" i="4"/>
  <c r="V512" i="4"/>
  <c r="P488" i="4"/>
  <c r="V488" i="4"/>
  <c r="X488" i="4"/>
  <c r="P416" i="4"/>
  <c r="X416" i="4"/>
  <c r="P392" i="4"/>
  <c r="X392" i="4"/>
  <c r="P304" i="4"/>
  <c r="X304" i="4"/>
  <c r="P248" i="4"/>
  <c r="V248" i="4"/>
  <c r="X248" i="4"/>
  <c r="P64" i="4"/>
  <c r="X64" i="4"/>
  <c r="V64" i="4"/>
  <c r="V185" i="4"/>
  <c r="X1124" i="4"/>
  <c r="X1084" i="4"/>
  <c r="X1044" i="4"/>
  <c r="X816" i="4"/>
  <c r="X473" i="4"/>
  <c r="X352" i="4"/>
  <c r="P745" i="4"/>
  <c r="P1091" i="4"/>
  <c r="X1091" i="4"/>
  <c r="P1067" i="4"/>
  <c r="X1067" i="4"/>
  <c r="P1043" i="4"/>
  <c r="X1043" i="4"/>
  <c r="P1027" i="4"/>
  <c r="X1027" i="4"/>
  <c r="P987" i="4"/>
  <c r="X987" i="4"/>
  <c r="X963" i="4"/>
  <c r="P963" i="4"/>
  <c r="P939" i="4"/>
  <c r="X939" i="4"/>
  <c r="P907" i="4"/>
  <c r="X907" i="4"/>
  <c r="X867" i="4"/>
  <c r="P867" i="4"/>
  <c r="X827" i="4"/>
  <c r="P827" i="4"/>
  <c r="X795" i="4"/>
  <c r="P795" i="4"/>
  <c r="V795" i="4"/>
  <c r="U779" i="4"/>
  <c r="P779" i="4"/>
  <c r="X779" i="4"/>
  <c r="V779" i="4"/>
  <c r="X755" i="4"/>
  <c r="V755" i="4"/>
  <c r="X723" i="4"/>
  <c r="P723" i="4"/>
  <c r="V723" i="4"/>
  <c r="X691" i="4"/>
  <c r="P691" i="4"/>
  <c r="V691" i="4"/>
  <c r="P667" i="4"/>
  <c r="X667" i="4"/>
  <c r="V667" i="4"/>
  <c r="T619" i="4"/>
  <c r="P619" i="4"/>
  <c r="X619" i="4"/>
  <c r="V619" i="4"/>
  <c r="T595" i="4"/>
  <c r="X595" i="4"/>
  <c r="P595" i="4"/>
  <c r="V595" i="4"/>
  <c r="T563" i="4"/>
  <c r="P563" i="4"/>
  <c r="X563" i="4"/>
  <c r="V563" i="4"/>
  <c r="T555" i="4"/>
  <c r="P555" i="4"/>
  <c r="X555" i="4"/>
  <c r="V555" i="4"/>
  <c r="T523" i="4"/>
  <c r="P523" i="4"/>
  <c r="X523" i="4"/>
  <c r="V523" i="4"/>
  <c r="T507" i="4"/>
  <c r="X507" i="4"/>
  <c r="P507" i="4"/>
  <c r="V507" i="4"/>
  <c r="T467" i="4"/>
  <c r="P467" i="4"/>
  <c r="X467" i="4"/>
  <c r="V467" i="4"/>
  <c r="T435" i="4"/>
  <c r="P435" i="4"/>
  <c r="X435" i="4"/>
  <c r="V435" i="4"/>
  <c r="U403" i="4"/>
  <c r="P403" i="4"/>
  <c r="X403" i="4"/>
  <c r="V403" i="4"/>
  <c r="T371" i="4"/>
  <c r="P371" i="4"/>
  <c r="X371" i="4"/>
  <c r="V371" i="4"/>
  <c r="T331" i="4"/>
  <c r="P331" i="4"/>
  <c r="X331" i="4"/>
  <c r="V331" i="4"/>
  <c r="T299" i="4"/>
  <c r="X299" i="4"/>
  <c r="P299" i="4"/>
  <c r="V299" i="4"/>
  <c r="T259" i="4"/>
  <c r="X259" i="4"/>
  <c r="P259" i="4"/>
  <c r="V259" i="4"/>
  <c r="T243" i="4"/>
  <c r="P243" i="4"/>
  <c r="X243" i="4"/>
  <c r="P219" i="4"/>
  <c r="X219" i="4"/>
  <c r="T179" i="4"/>
  <c r="P179" i="4"/>
  <c r="X179" i="4"/>
  <c r="P139" i="4"/>
  <c r="X139" i="4"/>
  <c r="V139" i="4"/>
  <c r="P107" i="4"/>
  <c r="X107" i="4"/>
  <c r="V107" i="4"/>
  <c r="T91" i="4"/>
  <c r="P91" i="4"/>
  <c r="X91" i="4"/>
  <c r="V91" i="4"/>
  <c r="T59" i="4"/>
  <c r="X59" i="4"/>
  <c r="P59" i="4"/>
  <c r="V59" i="4"/>
  <c r="T1146" i="4"/>
  <c r="P1146" i="4"/>
  <c r="X1146" i="4"/>
  <c r="T1106" i="4"/>
  <c r="P1106" i="4"/>
  <c r="X1106" i="4"/>
  <c r="P1074" i="4"/>
  <c r="X1074" i="4"/>
  <c r="T1042" i="4"/>
  <c r="P1042" i="4"/>
  <c r="X1042" i="4"/>
  <c r="T1002" i="4"/>
  <c r="P1002" i="4"/>
  <c r="X1002" i="4"/>
  <c r="T978" i="4"/>
  <c r="P978" i="4"/>
  <c r="X978" i="4"/>
  <c r="S938" i="4"/>
  <c r="P938" i="4"/>
  <c r="V938" i="4"/>
  <c r="P906" i="4"/>
  <c r="X906" i="4"/>
  <c r="V906" i="4"/>
  <c r="T874" i="4"/>
  <c r="P874" i="4"/>
  <c r="X874" i="4"/>
  <c r="V874" i="4"/>
  <c r="T834" i="4"/>
  <c r="P834" i="4"/>
  <c r="V834" i="4"/>
  <c r="X834" i="4"/>
  <c r="P802" i="4"/>
  <c r="V802" i="4"/>
  <c r="X802" i="4"/>
  <c r="T762" i="4"/>
  <c r="P762" i="4"/>
  <c r="V762" i="4"/>
  <c r="T722" i="4"/>
  <c r="P722" i="4"/>
  <c r="V722" i="4"/>
  <c r="X722" i="4"/>
  <c r="T682" i="4"/>
  <c r="P682" i="4"/>
  <c r="X682" i="4"/>
  <c r="V682" i="4"/>
  <c r="P650" i="4"/>
  <c r="X650" i="4"/>
  <c r="V650" i="4"/>
  <c r="P626" i="4"/>
  <c r="V626" i="4"/>
  <c r="P586" i="4"/>
  <c r="X586" i="4"/>
  <c r="V586" i="4"/>
  <c r="T554" i="4"/>
  <c r="P554" i="4"/>
  <c r="X554" i="4"/>
  <c r="V554" i="4"/>
  <c r="T514" i="4"/>
  <c r="P514" i="4"/>
  <c r="X514" i="4"/>
  <c r="V514" i="4"/>
  <c r="T474" i="4"/>
  <c r="P474" i="4"/>
  <c r="V474" i="4"/>
  <c r="X474" i="4"/>
  <c r="P434" i="4"/>
  <c r="V434" i="4"/>
  <c r="X434" i="4"/>
  <c r="P410" i="4"/>
  <c r="X410" i="4"/>
  <c r="V410" i="4"/>
  <c r="P386" i="4"/>
  <c r="V386" i="4"/>
  <c r="X386" i="4"/>
  <c r="X362" i="4"/>
  <c r="P362" i="4"/>
  <c r="V362" i="4"/>
  <c r="T322" i="4"/>
  <c r="P322" i="4"/>
  <c r="X322" i="4"/>
  <c r="V322" i="4"/>
  <c r="X298" i="4"/>
  <c r="P298" i="4"/>
  <c r="V298" i="4"/>
  <c r="P258" i="4"/>
  <c r="X258" i="4"/>
  <c r="V258" i="4"/>
  <c r="P234" i="4"/>
  <c r="X234" i="4"/>
  <c r="V234" i="4"/>
  <c r="P194" i="4"/>
  <c r="X194" i="4"/>
  <c r="V194" i="4"/>
  <c r="T154" i="4"/>
  <c r="P154" i="4"/>
  <c r="X154" i="4"/>
  <c r="V154" i="4"/>
  <c r="P122" i="4"/>
  <c r="X122" i="4"/>
  <c r="P90" i="4"/>
  <c r="X90" i="4"/>
  <c r="V90" i="4"/>
  <c r="P66" i="4"/>
  <c r="X66" i="4"/>
  <c r="V66" i="4"/>
  <c r="P34" i="4"/>
  <c r="X34" i="4"/>
  <c r="X938" i="4"/>
  <c r="P1137" i="4"/>
  <c r="X1137" i="4"/>
  <c r="V1137" i="4"/>
  <c r="P1097" i="4"/>
  <c r="X1097" i="4"/>
  <c r="V1097" i="4"/>
  <c r="P1065" i="4"/>
  <c r="X1065" i="4"/>
  <c r="V1065" i="4"/>
  <c r="P1049" i="4"/>
  <c r="V1049" i="4"/>
  <c r="P1017" i="4"/>
  <c r="X1017" i="4"/>
  <c r="V1017" i="4"/>
  <c r="P977" i="4"/>
  <c r="X977" i="4"/>
  <c r="V977" i="4"/>
  <c r="P945" i="4"/>
  <c r="V945" i="4"/>
  <c r="P905" i="4"/>
  <c r="X905" i="4"/>
  <c r="V905" i="4"/>
  <c r="P873" i="4"/>
  <c r="X873" i="4"/>
  <c r="V873" i="4"/>
  <c r="P833" i="4"/>
  <c r="X833" i="4"/>
  <c r="P793" i="4"/>
  <c r="V793" i="4"/>
  <c r="P753" i="4"/>
  <c r="V753" i="4"/>
  <c r="X753" i="4"/>
  <c r="P713" i="4"/>
  <c r="X713" i="4"/>
  <c r="V713" i="4"/>
  <c r="P673" i="4"/>
  <c r="X673" i="4"/>
  <c r="V673" i="4"/>
  <c r="P641" i="4"/>
  <c r="X641" i="4"/>
  <c r="V641" i="4"/>
  <c r="P601" i="4"/>
  <c r="V601" i="4"/>
  <c r="X601" i="4"/>
  <c r="P561" i="4"/>
  <c r="V561" i="4"/>
  <c r="P513" i="4"/>
  <c r="X513" i="4"/>
  <c r="V513" i="4"/>
  <c r="X481" i="4"/>
  <c r="P481" i="4"/>
  <c r="V481" i="4"/>
  <c r="P441" i="4"/>
  <c r="V441" i="4"/>
  <c r="X441" i="4"/>
  <c r="T409" i="4"/>
  <c r="P409" i="4"/>
  <c r="V409" i="4"/>
  <c r="X409" i="4"/>
  <c r="T377" i="4"/>
  <c r="P377" i="4"/>
  <c r="X377" i="4"/>
  <c r="V377" i="4"/>
  <c r="P353" i="4"/>
  <c r="V353" i="4"/>
  <c r="P313" i="4"/>
  <c r="V313" i="4"/>
  <c r="T281" i="4"/>
  <c r="P281" i="4"/>
  <c r="X281" i="4"/>
  <c r="V281" i="4"/>
  <c r="P241" i="4"/>
  <c r="X241" i="4"/>
  <c r="P209" i="4"/>
  <c r="V209" i="4"/>
  <c r="X209" i="4"/>
  <c r="P161" i="4"/>
  <c r="X161" i="4"/>
  <c r="U105" i="4"/>
  <c r="P105" i="4"/>
  <c r="X105" i="4"/>
  <c r="P65" i="4"/>
  <c r="X65" i="4"/>
  <c r="V827" i="4"/>
  <c r="X969" i="4"/>
  <c r="X353" i="4"/>
  <c r="X273" i="4"/>
  <c r="P1048" i="4"/>
  <c r="X1048" i="4"/>
  <c r="V1048" i="4"/>
  <c r="U1135" i="4"/>
  <c r="P1135" i="4"/>
  <c r="X1135" i="4"/>
  <c r="V1135" i="4"/>
  <c r="X1127" i="4"/>
  <c r="P1127" i="4"/>
  <c r="V1127" i="4"/>
  <c r="P1119" i="4"/>
  <c r="X1119" i="4"/>
  <c r="V1119" i="4"/>
  <c r="P1111" i="4"/>
  <c r="X1111" i="4"/>
  <c r="V1111" i="4"/>
  <c r="P1103" i="4"/>
  <c r="X1103" i="4"/>
  <c r="V1103" i="4"/>
  <c r="X1095" i="4"/>
  <c r="P1095" i="4"/>
  <c r="V1095" i="4"/>
  <c r="P1087" i="4"/>
  <c r="X1087" i="4"/>
  <c r="V1087" i="4"/>
  <c r="P1079" i="4"/>
  <c r="X1079" i="4"/>
  <c r="V1079" i="4"/>
  <c r="P1071" i="4"/>
  <c r="X1071" i="4"/>
  <c r="V1071" i="4"/>
  <c r="P1063" i="4"/>
  <c r="X1063" i="4"/>
  <c r="V1063" i="4"/>
  <c r="X1055" i="4"/>
  <c r="P1055" i="4"/>
  <c r="V1055" i="4"/>
  <c r="P1047" i="4"/>
  <c r="X1047" i="4"/>
  <c r="V1047" i="4"/>
  <c r="P1039" i="4"/>
  <c r="X1039" i="4"/>
  <c r="V1039" i="4"/>
  <c r="X1031" i="4"/>
  <c r="P1031" i="4"/>
  <c r="V1031" i="4"/>
  <c r="P1023" i="4"/>
  <c r="X1023" i="4"/>
  <c r="V1023" i="4"/>
  <c r="X1015" i="4"/>
  <c r="P1015" i="4"/>
  <c r="V1015" i="4"/>
  <c r="P1007" i="4"/>
  <c r="X1007" i="4"/>
  <c r="V1007" i="4"/>
  <c r="P999" i="4"/>
  <c r="X999" i="4"/>
  <c r="V999" i="4"/>
  <c r="X991" i="4"/>
  <c r="P991" i="4"/>
  <c r="V991" i="4"/>
  <c r="P983" i="4"/>
  <c r="X983" i="4"/>
  <c r="V983" i="4"/>
  <c r="P975" i="4"/>
  <c r="X975" i="4"/>
  <c r="V975" i="4"/>
  <c r="P967" i="4"/>
  <c r="X967" i="4"/>
  <c r="V967" i="4"/>
  <c r="P959" i="4"/>
  <c r="X959" i="4"/>
  <c r="V959" i="4"/>
  <c r="P951" i="4"/>
  <c r="X951" i="4"/>
  <c r="V951" i="4"/>
  <c r="V1124" i="4"/>
  <c r="V1074" i="4"/>
  <c r="V1010" i="4"/>
  <c r="V955" i="4"/>
  <c r="V939" i="4"/>
  <c r="V907" i="4"/>
  <c r="V859" i="4"/>
  <c r="V800" i="4"/>
  <c r="V288" i="4"/>
  <c r="V257" i="4"/>
  <c r="V65" i="4"/>
  <c r="X537" i="4"/>
  <c r="X328" i="4"/>
  <c r="P915" i="4"/>
  <c r="P1131" i="4"/>
  <c r="X1131" i="4"/>
  <c r="P1075" i="4"/>
  <c r="X1075" i="4"/>
  <c r="P1019" i="4"/>
  <c r="X1019" i="4"/>
  <c r="X971" i="4"/>
  <c r="P971" i="4"/>
  <c r="P923" i="4"/>
  <c r="X923" i="4"/>
  <c r="P875" i="4"/>
  <c r="X875" i="4"/>
  <c r="P835" i="4"/>
  <c r="X835" i="4"/>
  <c r="X787" i="4"/>
  <c r="P787" i="4"/>
  <c r="V787" i="4"/>
  <c r="X739" i="4"/>
  <c r="P739" i="4"/>
  <c r="V739" i="4"/>
  <c r="X707" i="4"/>
  <c r="P707" i="4"/>
  <c r="V707" i="4"/>
  <c r="T651" i="4"/>
  <c r="P651" i="4"/>
  <c r="X651" i="4"/>
  <c r="V651" i="4"/>
  <c r="T611" i="4"/>
  <c r="X611" i="4"/>
  <c r="P611" i="4"/>
  <c r="V611" i="4"/>
  <c r="U571" i="4"/>
  <c r="P571" i="4"/>
  <c r="X571" i="4"/>
  <c r="V571" i="4"/>
  <c r="T531" i="4"/>
  <c r="X531" i="4"/>
  <c r="P531" i="4"/>
  <c r="V531" i="4"/>
  <c r="T483" i="4"/>
  <c r="P483" i="4"/>
  <c r="X483" i="4"/>
  <c r="V483" i="4"/>
  <c r="T443" i="4"/>
  <c r="X443" i="4"/>
  <c r="P443" i="4"/>
  <c r="V443" i="4"/>
  <c r="T395" i="4"/>
  <c r="P395" i="4"/>
  <c r="X395" i="4"/>
  <c r="V395" i="4"/>
  <c r="T355" i="4"/>
  <c r="P355" i="4"/>
  <c r="X355" i="4"/>
  <c r="V355" i="4"/>
  <c r="T315" i="4"/>
  <c r="P315" i="4"/>
  <c r="X315" i="4"/>
  <c r="V315" i="4"/>
  <c r="T267" i="4"/>
  <c r="P267" i="4"/>
  <c r="X267" i="4"/>
  <c r="V267" i="4"/>
  <c r="U227" i="4"/>
  <c r="P227" i="4"/>
  <c r="X227" i="4"/>
  <c r="V227" i="4"/>
  <c r="P187" i="4"/>
  <c r="X187" i="4"/>
  <c r="V187" i="4"/>
  <c r="P147" i="4"/>
  <c r="X147" i="4"/>
  <c r="V147" i="4"/>
  <c r="T99" i="4"/>
  <c r="P99" i="4"/>
  <c r="X99" i="4"/>
  <c r="V99" i="4"/>
  <c r="P67" i="4"/>
  <c r="X67" i="4"/>
  <c r="V67" i="4"/>
  <c r="P51" i="4"/>
  <c r="X51" i="4"/>
  <c r="V51" i="4"/>
  <c r="V867" i="4"/>
  <c r="P1122" i="4"/>
  <c r="X1122" i="4"/>
  <c r="T1082" i="4"/>
  <c r="P1082" i="4"/>
  <c r="X1082" i="4"/>
  <c r="P1034" i="4"/>
  <c r="X1034" i="4"/>
  <c r="P994" i="4"/>
  <c r="X994" i="4"/>
  <c r="T954" i="4"/>
  <c r="P954" i="4"/>
  <c r="X954" i="4"/>
  <c r="V954" i="4"/>
  <c r="T914" i="4"/>
  <c r="X914" i="4"/>
  <c r="V914" i="4"/>
  <c r="P882" i="4"/>
  <c r="X882" i="4"/>
  <c r="V882" i="4"/>
  <c r="T858" i="4"/>
  <c r="X858" i="4"/>
  <c r="P858" i="4"/>
  <c r="V858" i="4"/>
  <c r="P818" i="4"/>
  <c r="X818" i="4"/>
  <c r="V818" i="4"/>
  <c r="T786" i="4"/>
  <c r="P786" i="4"/>
  <c r="X786" i="4"/>
  <c r="V786" i="4"/>
  <c r="P738" i="4"/>
  <c r="X738" i="4"/>
  <c r="V738" i="4"/>
  <c r="T698" i="4"/>
  <c r="P698" i="4"/>
  <c r="V698" i="4"/>
  <c r="T666" i="4"/>
  <c r="P666" i="4"/>
  <c r="X666" i="4"/>
  <c r="V666" i="4"/>
  <c r="P610" i="4"/>
  <c r="V610" i="4"/>
  <c r="X610" i="4"/>
  <c r="T570" i="4"/>
  <c r="P570" i="4"/>
  <c r="V570" i="4"/>
  <c r="T530" i="4"/>
  <c r="P530" i="4"/>
  <c r="X530" i="4"/>
  <c r="V530" i="4"/>
  <c r="T490" i="4"/>
  <c r="P490" i="4"/>
  <c r="X490" i="4"/>
  <c r="V490" i="4"/>
  <c r="P418" i="4"/>
  <c r="V418" i="4"/>
  <c r="X418" i="4"/>
  <c r="P402" i="4"/>
  <c r="V402" i="4"/>
  <c r="T354" i="4"/>
  <c r="P354" i="4"/>
  <c r="X354" i="4"/>
  <c r="V354" i="4"/>
  <c r="P314" i="4"/>
  <c r="X314" i="4"/>
  <c r="V314" i="4"/>
  <c r="P274" i="4"/>
  <c r="X274" i="4"/>
  <c r="P218" i="4"/>
  <c r="X218" i="4"/>
  <c r="V218" i="4"/>
  <c r="P178" i="4"/>
  <c r="X178" i="4"/>
  <c r="V178" i="4"/>
  <c r="X114" i="4"/>
  <c r="P114" i="4"/>
  <c r="V114" i="4"/>
  <c r="P74" i="4"/>
  <c r="X74" i="4"/>
  <c r="V74" i="4"/>
  <c r="V1091" i="4"/>
  <c r="V1002" i="4"/>
  <c r="P1145" i="4"/>
  <c r="X1145" i="4"/>
  <c r="V1145" i="4"/>
  <c r="P1113" i="4"/>
  <c r="V1113" i="4"/>
  <c r="P1081" i="4"/>
  <c r="X1081" i="4"/>
  <c r="V1081" i="4"/>
  <c r="U1041" i="4"/>
  <c r="P1041" i="4"/>
  <c r="X1041" i="4"/>
  <c r="V1041" i="4"/>
  <c r="P1001" i="4"/>
  <c r="X1001" i="4"/>
  <c r="V1001" i="4"/>
  <c r="P961" i="4"/>
  <c r="V961" i="4"/>
  <c r="P929" i="4"/>
  <c r="X929" i="4"/>
  <c r="V929" i="4"/>
  <c r="P889" i="4"/>
  <c r="X889" i="4"/>
  <c r="V889" i="4"/>
  <c r="P849" i="4"/>
  <c r="X849" i="4"/>
  <c r="V849" i="4"/>
  <c r="P801" i="4"/>
  <c r="X801" i="4"/>
  <c r="V801" i="4"/>
  <c r="P761" i="4"/>
  <c r="V761" i="4"/>
  <c r="V729" i="4"/>
  <c r="P729" i="4"/>
  <c r="P705" i="4"/>
  <c r="X705" i="4"/>
  <c r="V705" i="4"/>
  <c r="P657" i="4"/>
  <c r="V657" i="4"/>
  <c r="P617" i="4"/>
  <c r="X617" i="4"/>
  <c r="V617" i="4"/>
  <c r="P569" i="4"/>
  <c r="V569" i="4"/>
  <c r="X569" i="4"/>
  <c r="P529" i="4"/>
  <c r="X529" i="4"/>
  <c r="V529" i="4"/>
  <c r="P497" i="4"/>
  <c r="V497" i="4"/>
  <c r="X497" i="4"/>
  <c r="P449" i="4"/>
  <c r="X449" i="4"/>
  <c r="V449" i="4"/>
  <c r="P393" i="4"/>
  <c r="X393" i="4"/>
  <c r="V393" i="4"/>
  <c r="V369" i="4"/>
  <c r="X369" i="4"/>
  <c r="P329" i="4"/>
  <c r="V329" i="4"/>
  <c r="X329" i="4"/>
  <c r="P289" i="4"/>
  <c r="V289" i="4"/>
  <c r="X289" i="4"/>
  <c r="T249" i="4"/>
  <c r="P249" i="4"/>
  <c r="V249" i="4"/>
  <c r="X249" i="4"/>
  <c r="T217" i="4"/>
  <c r="P217" i="4"/>
  <c r="X217" i="4"/>
  <c r="V217" i="4"/>
  <c r="V177" i="4"/>
  <c r="X177" i="4"/>
  <c r="P177" i="4"/>
  <c r="P145" i="4"/>
  <c r="X145" i="4"/>
  <c r="P121" i="4"/>
  <c r="X121" i="4"/>
  <c r="P81" i="4"/>
  <c r="X81" i="4"/>
  <c r="P49" i="4"/>
  <c r="X49" i="4"/>
  <c r="V49" i="4"/>
  <c r="P1136" i="4"/>
  <c r="X1136" i="4"/>
  <c r="V1136" i="4"/>
  <c r="P1104" i="4"/>
  <c r="X1104" i="4"/>
  <c r="V1104" i="4"/>
  <c r="P1064" i="4"/>
  <c r="X1064" i="4"/>
  <c r="V1064" i="4"/>
  <c r="P1024" i="4"/>
  <c r="X1024" i="4"/>
  <c r="V1024" i="4"/>
  <c r="P1008" i="4"/>
  <c r="X1008" i="4"/>
  <c r="V1008" i="4"/>
  <c r="P984" i="4"/>
  <c r="X984" i="4"/>
  <c r="V984" i="4"/>
  <c r="P952" i="4"/>
  <c r="X952" i="4"/>
  <c r="V952" i="4"/>
  <c r="P920" i="4"/>
  <c r="X920" i="4"/>
  <c r="V920" i="4"/>
  <c r="P888" i="4"/>
  <c r="V888" i="4"/>
  <c r="X888" i="4"/>
  <c r="P864" i="4"/>
  <c r="X864" i="4"/>
  <c r="V864" i="4"/>
  <c r="X840" i="4"/>
  <c r="P840" i="4"/>
  <c r="V840" i="4"/>
  <c r="P808" i="4"/>
  <c r="V808" i="4"/>
  <c r="X808" i="4"/>
  <c r="P776" i="4"/>
  <c r="X776" i="4"/>
  <c r="P736" i="4"/>
  <c r="X736" i="4"/>
  <c r="P712" i="4"/>
  <c r="X712" i="4"/>
  <c r="P688" i="4"/>
  <c r="X688" i="4"/>
  <c r="X672" i="4"/>
  <c r="P672" i="4"/>
  <c r="P648" i="4"/>
  <c r="X648" i="4"/>
  <c r="P600" i="4"/>
  <c r="X600" i="4"/>
  <c r="V600" i="4"/>
  <c r="X544" i="4"/>
  <c r="P544" i="4"/>
  <c r="P520" i="4"/>
  <c r="X520" i="4"/>
  <c r="P496" i="4"/>
  <c r="X496" i="4"/>
  <c r="P472" i="4"/>
  <c r="X472" i="4"/>
  <c r="V472" i="4"/>
  <c r="P464" i="4"/>
  <c r="X464" i="4"/>
  <c r="V464" i="4"/>
  <c r="P448" i="4"/>
  <c r="X448" i="4"/>
  <c r="V448" i="4"/>
  <c r="P424" i="4"/>
  <c r="V424" i="4"/>
  <c r="T400" i="4"/>
  <c r="P400" i="4"/>
  <c r="V400" i="4"/>
  <c r="P376" i="4"/>
  <c r="X376" i="4"/>
  <c r="P360" i="4"/>
  <c r="X360" i="4"/>
  <c r="V360" i="4"/>
  <c r="P344" i="4"/>
  <c r="X344" i="4"/>
  <c r="V344" i="4"/>
  <c r="P320" i="4"/>
  <c r="X320" i="4"/>
  <c r="V320" i="4"/>
  <c r="P296" i="4"/>
  <c r="X296" i="4"/>
  <c r="V296" i="4"/>
  <c r="T280" i="4"/>
  <c r="P280" i="4"/>
  <c r="V280" i="4"/>
  <c r="P264" i="4"/>
  <c r="V264" i="4"/>
  <c r="X264" i="4"/>
  <c r="T240" i="4"/>
  <c r="P240" i="4"/>
  <c r="V240" i="4"/>
  <c r="X240" i="4"/>
  <c r="P232" i="4"/>
  <c r="X232" i="4"/>
  <c r="V232" i="4"/>
  <c r="P216" i="4"/>
  <c r="V216" i="4"/>
  <c r="X216" i="4"/>
  <c r="P200" i="4"/>
  <c r="V200" i="4"/>
  <c r="X200" i="4"/>
  <c r="P184" i="4"/>
  <c r="V184" i="4"/>
  <c r="X184" i="4"/>
  <c r="P168" i="4"/>
  <c r="X168" i="4"/>
  <c r="V168" i="4"/>
  <c r="P152" i="4"/>
  <c r="V152" i="4"/>
  <c r="X152" i="4"/>
  <c r="P136" i="4"/>
  <c r="V136" i="4"/>
  <c r="X136" i="4"/>
  <c r="P120" i="4"/>
  <c r="V120" i="4"/>
  <c r="X120" i="4"/>
  <c r="P104" i="4"/>
  <c r="X104" i="4"/>
  <c r="V104" i="4"/>
  <c r="V88" i="4"/>
  <c r="P88" i="4"/>
  <c r="X88" i="4"/>
  <c r="P80" i="4"/>
  <c r="X80" i="4"/>
  <c r="V80" i="4"/>
  <c r="P56" i="4"/>
  <c r="V56" i="4"/>
  <c r="X56" i="4"/>
  <c r="P48" i="4"/>
  <c r="V48" i="4"/>
  <c r="X48" i="4"/>
  <c r="V1075" i="4"/>
  <c r="V986" i="4"/>
  <c r="V712" i="4"/>
  <c r="V145" i="4"/>
  <c r="P1151" i="4"/>
  <c r="X1151" i="4"/>
  <c r="V1151" i="4"/>
  <c r="V1148" i="4"/>
  <c r="V1084" i="4"/>
  <c r="V1059" i="4"/>
  <c r="V1034" i="4"/>
  <c r="V376" i="4"/>
  <c r="V352" i="4"/>
  <c r="V328" i="4"/>
  <c r="V97" i="4"/>
  <c r="X915" i="4"/>
  <c r="X760" i="4"/>
  <c r="X698" i="4"/>
  <c r="X528" i="4"/>
  <c r="P1132" i="4"/>
  <c r="P914" i="4"/>
  <c r="P515" i="4"/>
  <c r="P1139" i="4"/>
  <c r="X1139" i="4"/>
  <c r="P1099" i="4"/>
  <c r="X1099" i="4"/>
  <c r="P1051" i="4"/>
  <c r="X1051" i="4"/>
  <c r="P1011" i="4"/>
  <c r="X1011" i="4"/>
  <c r="P979" i="4"/>
  <c r="X979" i="4"/>
  <c r="P931" i="4"/>
  <c r="X931" i="4"/>
  <c r="P883" i="4"/>
  <c r="X883" i="4"/>
  <c r="P843" i="4"/>
  <c r="X843" i="4"/>
  <c r="P803" i="4"/>
  <c r="X803" i="4"/>
  <c r="V803" i="4"/>
  <c r="P747" i="4"/>
  <c r="X747" i="4"/>
  <c r="V747" i="4"/>
  <c r="P699" i="4"/>
  <c r="X699" i="4"/>
  <c r="V699" i="4"/>
  <c r="X659" i="4"/>
  <c r="P659" i="4"/>
  <c r="V659" i="4"/>
  <c r="T603" i="4"/>
  <c r="P603" i="4"/>
  <c r="X603" i="4"/>
  <c r="V603" i="4"/>
  <c r="T547" i="4"/>
  <c r="P547" i="4"/>
  <c r="X547" i="4"/>
  <c r="V547" i="4"/>
  <c r="T499" i="4"/>
  <c r="P499" i="4"/>
  <c r="X499" i="4"/>
  <c r="V499" i="4"/>
  <c r="T459" i="4"/>
  <c r="X459" i="4"/>
  <c r="V459" i="4"/>
  <c r="P459" i="4"/>
  <c r="T419" i="4"/>
  <c r="X419" i="4"/>
  <c r="P419" i="4"/>
  <c r="V419" i="4"/>
  <c r="T379" i="4"/>
  <c r="P379" i="4"/>
  <c r="X379" i="4"/>
  <c r="V379" i="4"/>
  <c r="T347" i="4"/>
  <c r="P347" i="4"/>
  <c r="X347" i="4"/>
  <c r="V347" i="4"/>
  <c r="T307" i="4"/>
  <c r="P307" i="4"/>
  <c r="X307" i="4"/>
  <c r="V307" i="4"/>
  <c r="T275" i="4"/>
  <c r="P275" i="4"/>
  <c r="X275" i="4"/>
  <c r="T235" i="4"/>
  <c r="X235" i="4"/>
  <c r="P235" i="4"/>
  <c r="X195" i="4"/>
  <c r="P195" i="4"/>
  <c r="V195" i="4"/>
  <c r="T155" i="4"/>
  <c r="P155" i="4"/>
  <c r="X155" i="4"/>
  <c r="V155" i="4"/>
  <c r="T123" i="4"/>
  <c r="P123" i="4"/>
  <c r="X123" i="4"/>
  <c r="V123" i="4"/>
  <c r="P83" i="4"/>
  <c r="X83" i="4"/>
  <c r="V83" i="4"/>
  <c r="P43" i="4"/>
  <c r="V43" i="4"/>
  <c r="X43" i="4"/>
  <c r="V963" i="4"/>
  <c r="T1114" i="4"/>
  <c r="P1114" i="4"/>
  <c r="X1114" i="4"/>
  <c r="T1066" i="4"/>
  <c r="P1066" i="4"/>
  <c r="X1066" i="4"/>
  <c r="P970" i="4"/>
  <c r="V970" i="4"/>
  <c r="P930" i="4"/>
  <c r="X930" i="4"/>
  <c r="V930" i="4"/>
  <c r="T890" i="4"/>
  <c r="P890" i="4"/>
  <c r="X890" i="4"/>
  <c r="V890" i="4"/>
  <c r="P842" i="4"/>
  <c r="X842" i="4"/>
  <c r="V842" i="4"/>
  <c r="T810" i="4"/>
  <c r="P810" i="4"/>
  <c r="X810" i="4"/>
  <c r="V810" i="4"/>
  <c r="P778" i="4"/>
  <c r="X778" i="4"/>
  <c r="V778" i="4"/>
  <c r="U746" i="4"/>
  <c r="P746" i="4"/>
  <c r="X746" i="4"/>
  <c r="V746" i="4"/>
  <c r="T706" i="4"/>
  <c r="P706" i="4"/>
  <c r="V706" i="4"/>
  <c r="X706" i="4"/>
  <c r="T658" i="4"/>
  <c r="P658" i="4"/>
  <c r="V658" i="4"/>
  <c r="X658" i="4"/>
  <c r="U658" i="4"/>
  <c r="T618" i="4"/>
  <c r="X618" i="4"/>
  <c r="V618" i="4"/>
  <c r="P618" i="4"/>
  <c r="P578" i="4"/>
  <c r="V578" i="4"/>
  <c r="X578" i="4"/>
  <c r="T578" i="4"/>
  <c r="P546" i="4"/>
  <c r="V546" i="4"/>
  <c r="X546" i="4"/>
  <c r="T506" i="4"/>
  <c r="P506" i="4"/>
  <c r="V506" i="4"/>
  <c r="T466" i="4"/>
  <c r="P466" i="4"/>
  <c r="V466" i="4"/>
  <c r="T426" i="4"/>
  <c r="P426" i="4"/>
  <c r="X426" i="4"/>
  <c r="V426" i="4"/>
  <c r="P394" i="4"/>
  <c r="X394" i="4"/>
  <c r="V394" i="4"/>
  <c r="P346" i="4"/>
  <c r="X346" i="4"/>
  <c r="V346" i="4"/>
  <c r="P306" i="4"/>
  <c r="X306" i="4"/>
  <c r="V306" i="4"/>
  <c r="X266" i="4"/>
  <c r="P266" i="4"/>
  <c r="V266" i="4"/>
  <c r="X226" i="4"/>
  <c r="P226" i="4"/>
  <c r="V226" i="4"/>
  <c r="P186" i="4"/>
  <c r="X186" i="4"/>
  <c r="V186" i="4"/>
  <c r="P146" i="4"/>
  <c r="X146" i="4"/>
  <c r="V146" i="4"/>
  <c r="P106" i="4"/>
  <c r="X106" i="4"/>
  <c r="V106" i="4"/>
  <c r="P58" i="4"/>
  <c r="X58" i="4"/>
  <c r="T43" i="4"/>
  <c r="V1066" i="4"/>
  <c r="V274" i="4"/>
  <c r="P755" i="4"/>
  <c r="P1129" i="4"/>
  <c r="X1129" i="4"/>
  <c r="V1129" i="4"/>
  <c r="U1089" i="4"/>
  <c r="P1089" i="4"/>
  <c r="V1089" i="4"/>
  <c r="P1033" i="4"/>
  <c r="V1033" i="4"/>
  <c r="P993" i="4"/>
  <c r="V993" i="4"/>
  <c r="P953" i="4"/>
  <c r="X953" i="4"/>
  <c r="V953" i="4"/>
  <c r="P921" i="4"/>
  <c r="X921" i="4"/>
  <c r="V921" i="4"/>
  <c r="P881" i="4"/>
  <c r="X881" i="4"/>
  <c r="V881" i="4"/>
  <c r="X841" i="4"/>
  <c r="P841" i="4"/>
  <c r="V841" i="4"/>
  <c r="X809" i="4"/>
  <c r="V809" i="4"/>
  <c r="P809" i="4"/>
  <c r="P769" i="4"/>
  <c r="X769" i="4"/>
  <c r="V769" i="4"/>
  <c r="P721" i="4"/>
  <c r="V721" i="4"/>
  <c r="X721" i="4"/>
  <c r="P697" i="4"/>
  <c r="V697" i="4"/>
  <c r="X697" i="4"/>
  <c r="P665" i="4"/>
  <c r="V665" i="4"/>
  <c r="X665" i="4"/>
  <c r="P625" i="4"/>
  <c r="V625" i="4"/>
  <c r="S593" i="4"/>
  <c r="P593" i="4"/>
  <c r="V593" i="4"/>
  <c r="P553" i="4"/>
  <c r="X553" i="4"/>
  <c r="V553" i="4"/>
  <c r="P521" i="4"/>
  <c r="X521" i="4"/>
  <c r="V521" i="4"/>
  <c r="P489" i="4"/>
  <c r="X489" i="4"/>
  <c r="V489" i="4"/>
  <c r="X457" i="4"/>
  <c r="V457" i="4"/>
  <c r="P457" i="4"/>
  <c r="P417" i="4"/>
  <c r="X417" i="4"/>
  <c r="V417" i="4"/>
  <c r="P361" i="4"/>
  <c r="X361" i="4"/>
  <c r="V361" i="4"/>
  <c r="T321" i="4"/>
  <c r="P321" i="4"/>
  <c r="X321" i="4"/>
  <c r="V321" i="4"/>
  <c r="P193" i="4"/>
  <c r="X193" i="4"/>
  <c r="V193" i="4"/>
  <c r="P153" i="4"/>
  <c r="X153" i="4"/>
  <c r="V153" i="4"/>
  <c r="P113" i="4"/>
  <c r="V113" i="4"/>
  <c r="X113" i="4"/>
  <c r="P73" i="4"/>
  <c r="V73" i="4"/>
  <c r="X73" i="4"/>
  <c r="P57" i="4"/>
  <c r="X57" i="4"/>
  <c r="V987" i="4"/>
  <c r="X1128" i="4"/>
  <c r="V1128" i="4"/>
  <c r="X1088" i="4"/>
  <c r="P1088" i="4"/>
  <c r="V1088" i="4"/>
  <c r="P1056" i="4"/>
  <c r="X1056" i="4"/>
  <c r="V1056" i="4"/>
  <c r="P1016" i="4"/>
  <c r="X1016" i="4"/>
  <c r="V1016" i="4"/>
  <c r="P976" i="4"/>
  <c r="X976" i="4"/>
  <c r="V976" i="4"/>
  <c r="P944" i="4"/>
  <c r="V944" i="4"/>
  <c r="P904" i="4"/>
  <c r="X904" i="4"/>
  <c r="V904" i="4"/>
  <c r="P880" i="4"/>
  <c r="X880" i="4"/>
  <c r="V880" i="4"/>
  <c r="P848" i="4"/>
  <c r="V848" i="4"/>
  <c r="P824" i="4"/>
  <c r="X824" i="4"/>
  <c r="P792" i="4"/>
  <c r="X792" i="4"/>
  <c r="V792" i="4"/>
  <c r="P768" i="4"/>
  <c r="X768" i="4"/>
  <c r="V768" i="4"/>
  <c r="P752" i="4"/>
  <c r="X752" i="4"/>
  <c r="P728" i="4"/>
  <c r="V728" i="4"/>
  <c r="X728" i="4"/>
  <c r="P704" i="4"/>
  <c r="X704" i="4"/>
  <c r="V704" i="4"/>
  <c r="P680" i="4"/>
  <c r="V680" i="4"/>
  <c r="P664" i="4"/>
  <c r="V664" i="4"/>
  <c r="X664" i="4"/>
  <c r="P656" i="4"/>
  <c r="V656" i="4"/>
  <c r="P640" i="4"/>
  <c r="X640" i="4"/>
  <c r="V640" i="4"/>
  <c r="P632" i="4"/>
  <c r="X632" i="4"/>
  <c r="P608" i="4"/>
  <c r="X608" i="4"/>
  <c r="P584" i="4"/>
  <c r="X584" i="4"/>
  <c r="P568" i="4"/>
  <c r="X568" i="4"/>
  <c r="P536" i="4"/>
  <c r="X536" i="4"/>
  <c r="V536" i="4"/>
  <c r="P480" i="4"/>
  <c r="X480" i="4"/>
  <c r="P432" i="4"/>
  <c r="X432" i="4"/>
  <c r="P408" i="4"/>
  <c r="X408" i="4"/>
  <c r="V408" i="4"/>
  <c r="P384" i="4"/>
  <c r="X384" i="4"/>
  <c r="V384" i="4"/>
  <c r="T368" i="4"/>
  <c r="P368" i="4"/>
  <c r="T336" i="4"/>
  <c r="P336" i="4"/>
  <c r="X336" i="4"/>
  <c r="V336" i="4"/>
  <c r="T312" i="4"/>
  <c r="P312" i="4"/>
  <c r="P272" i="4"/>
  <c r="X272" i="4"/>
  <c r="V272" i="4"/>
  <c r="P256" i="4"/>
  <c r="X256" i="4"/>
  <c r="V256" i="4"/>
  <c r="P224" i="4"/>
  <c r="V224" i="4"/>
  <c r="X224" i="4"/>
  <c r="P208" i="4"/>
  <c r="X208" i="4"/>
  <c r="V208" i="4"/>
  <c r="P192" i="4"/>
  <c r="X192" i="4"/>
  <c r="V192" i="4"/>
  <c r="P176" i="4"/>
  <c r="V176" i="4"/>
  <c r="X176" i="4"/>
  <c r="P160" i="4"/>
  <c r="V160" i="4"/>
  <c r="X160" i="4"/>
  <c r="P144" i="4"/>
  <c r="X144" i="4"/>
  <c r="V144" i="4"/>
  <c r="P128" i="4"/>
  <c r="X128" i="4"/>
  <c r="V128" i="4"/>
  <c r="P112" i="4"/>
  <c r="V112" i="4"/>
  <c r="X112" i="4"/>
  <c r="P96" i="4"/>
  <c r="V96" i="4"/>
  <c r="X96" i="4"/>
  <c r="P72" i="4"/>
  <c r="V72" i="4"/>
  <c r="X72" i="4"/>
  <c r="P40" i="4"/>
  <c r="X40" i="4"/>
  <c r="V40" i="4"/>
  <c r="P32" i="4"/>
  <c r="X32" i="4"/>
  <c r="V1114" i="4"/>
  <c r="V825" i="4"/>
  <c r="V760" i="4"/>
  <c r="V624" i="4"/>
  <c r="V225" i="4"/>
  <c r="V105" i="4"/>
  <c r="P1143" i="4"/>
  <c r="X1143" i="4"/>
  <c r="V1143" i="4"/>
  <c r="V1147" i="4"/>
  <c r="V1122" i="4"/>
  <c r="V1108" i="4"/>
  <c r="V1058" i="4"/>
  <c r="V1019" i="4"/>
  <c r="V994" i="4"/>
  <c r="V816" i="4"/>
  <c r="V440" i="4"/>
  <c r="V416" i="4"/>
  <c r="V392" i="4"/>
  <c r="V304" i="4"/>
  <c r="V219" i="4"/>
  <c r="V179" i="4"/>
  <c r="V57" i="4"/>
  <c r="X1148" i="4"/>
  <c r="X1108" i="4"/>
  <c r="X1068" i="4"/>
  <c r="X986" i="4"/>
  <c r="X945" i="4"/>
  <c r="X899" i="4"/>
  <c r="X848" i="4"/>
  <c r="X794" i="4"/>
  <c r="X680" i="4"/>
  <c r="X592" i="4"/>
  <c r="X456" i="4"/>
  <c r="X313" i="4"/>
  <c r="X225" i="4"/>
  <c r="P1128" i="4"/>
  <c r="P913" i="4"/>
  <c r="P401" i="4"/>
  <c r="P1123" i="4"/>
  <c r="X1123" i="4"/>
  <c r="P1083" i="4"/>
  <c r="X1083" i="4"/>
  <c r="P1035" i="4"/>
  <c r="X1035" i="4"/>
  <c r="P995" i="4"/>
  <c r="X995" i="4"/>
  <c r="P947" i="4"/>
  <c r="X947" i="4"/>
  <c r="P891" i="4"/>
  <c r="X891" i="4"/>
  <c r="P851" i="4"/>
  <c r="X851" i="4"/>
  <c r="X819" i="4"/>
  <c r="P819" i="4"/>
  <c r="V819" i="4"/>
  <c r="X763" i="4"/>
  <c r="P763" i="4"/>
  <c r="V763" i="4"/>
  <c r="P715" i="4"/>
  <c r="X715" i="4"/>
  <c r="V715" i="4"/>
  <c r="X675" i="4"/>
  <c r="V675" i="4"/>
  <c r="P675" i="4"/>
  <c r="T643" i="4"/>
  <c r="X643" i="4"/>
  <c r="P643" i="4"/>
  <c r="V643" i="4"/>
  <c r="T627" i="4"/>
  <c r="P627" i="4"/>
  <c r="X627" i="4"/>
  <c r="V627" i="4"/>
  <c r="T587" i="4"/>
  <c r="P587" i="4"/>
  <c r="X587" i="4"/>
  <c r="V587" i="4"/>
  <c r="T539" i="4"/>
  <c r="P539" i="4"/>
  <c r="X539" i="4"/>
  <c r="V539" i="4"/>
  <c r="T491" i="4"/>
  <c r="X491" i="4"/>
  <c r="P491" i="4"/>
  <c r="V491" i="4"/>
  <c r="T451" i="4"/>
  <c r="P451" i="4"/>
  <c r="X451" i="4"/>
  <c r="V451" i="4"/>
  <c r="T411" i="4"/>
  <c r="P411" i="4"/>
  <c r="X411" i="4"/>
  <c r="V411" i="4"/>
  <c r="X363" i="4"/>
  <c r="V363" i="4"/>
  <c r="P363" i="4"/>
  <c r="X323" i="4"/>
  <c r="P323" i="4"/>
  <c r="V323" i="4"/>
  <c r="T291" i="4"/>
  <c r="P291" i="4"/>
  <c r="X291" i="4"/>
  <c r="V291" i="4"/>
  <c r="P251" i="4"/>
  <c r="X251" i="4"/>
  <c r="V251" i="4"/>
  <c r="X203" i="4"/>
  <c r="V203" i="4"/>
  <c r="P203" i="4"/>
  <c r="T163" i="4"/>
  <c r="X163" i="4"/>
  <c r="P163" i="4"/>
  <c r="V163" i="4"/>
  <c r="P131" i="4"/>
  <c r="X131" i="4"/>
  <c r="V131" i="4"/>
  <c r="X75" i="4"/>
  <c r="P75" i="4"/>
  <c r="V75" i="4"/>
  <c r="V1131" i="4"/>
  <c r="V1067" i="4"/>
  <c r="V1003" i="4"/>
  <c r="P1138" i="4"/>
  <c r="X1138" i="4"/>
  <c r="P1098" i="4"/>
  <c r="X1098" i="4"/>
  <c r="T1050" i="4"/>
  <c r="P1050" i="4"/>
  <c r="T1018" i="4"/>
  <c r="P1018" i="4"/>
  <c r="X1018" i="4"/>
  <c r="T962" i="4"/>
  <c r="X962" i="4"/>
  <c r="P962" i="4"/>
  <c r="V962" i="4"/>
  <c r="T922" i="4"/>
  <c r="P922" i="4"/>
  <c r="X922" i="4"/>
  <c r="V922" i="4"/>
  <c r="P866" i="4"/>
  <c r="V866" i="4"/>
  <c r="T826" i="4"/>
  <c r="P826" i="4"/>
  <c r="V826" i="4"/>
  <c r="X826" i="4"/>
  <c r="T770" i="4"/>
  <c r="P770" i="4"/>
  <c r="X770" i="4"/>
  <c r="V770" i="4"/>
  <c r="T730" i="4"/>
  <c r="P730" i="4"/>
  <c r="V730" i="4"/>
  <c r="P690" i="4"/>
  <c r="V690" i="4"/>
  <c r="X690" i="4"/>
  <c r="T642" i="4"/>
  <c r="P642" i="4"/>
  <c r="V642" i="4"/>
  <c r="X642" i="4"/>
  <c r="T594" i="4"/>
  <c r="P594" i="4"/>
  <c r="V594" i="4"/>
  <c r="T538" i="4"/>
  <c r="P538" i="4"/>
  <c r="V538" i="4"/>
  <c r="X538" i="4"/>
  <c r="P498" i="4"/>
  <c r="V498" i="4"/>
  <c r="X498" i="4"/>
  <c r="X458" i="4"/>
  <c r="V458" i="4"/>
  <c r="P458" i="4"/>
  <c r="T442" i="4"/>
  <c r="P442" i="4"/>
  <c r="V442" i="4"/>
  <c r="X442" i="4"/>
  <c r="P370" i="4"/>
  <c r="X370" i="4"/>
  <c r="V370" i="4"/>
  <c r="X338" i="4"/>
  <c r="P338" i="4"/>
  <c r="V338" i="4"/>
  <c r="P290" i="4"/>
  <c r="X290" i="4"/>
  <c r="V290" i="4"/>
  <c r="P242" i="4"/>
  <c r="X242" i="4"/>
  <c r="X202" i="4"/>
  <c r="V202" i="4"/>
  <c r="P202" i="4"/>
  <c r="X162" i="4"/>
  <c r="P162" i="4"/>
  <c r="V162" i="4"/>
  <c r="P130" i="4"/>
  <c r="X130" i="4"/>
  <c r="V130" i="4"/>
  <c r="X82" i="4"/>
  <c r="P82" i="4"/>
  <c r="X50" i="4"/>
  <c r="P50" i="4"/>
  <c r="V50" i="4"/>
  <c r="V1130" i="4"/>
  <c r="X970" i="4"/>
  <c r="P1121" i="4"/>
  <c r="X1121" i="4"/>
  <c r="V1121" i="4"/>
  <c r="P1073" i="4"/>
  <c r="V1073" i="4"/>
  <c r="U1025" i="4"/>
  <c r="P1025" i="4"/>
  <c r="V1025" i="4"/>
  <c r="P985" i="4"/>
  <c r="V985" i="4"/>
  <c r="P937" i="4"/>
  <c r="V937" i="4"/>
  <c r="X937" i="4"/>
  <c r="P897" i="4"/>
  <c r="V897" i="4"/>
  <c r="P857" i="4"/>
  <c r="X857" i="4"/>
  <c r="V857" i="4"/>
  <c r="U817" i="4"/>
  <c r="P817" i="4"/>
  <c r="V817" i="4"/>
  <c r="X777" i="4"/>
  <c r="V777" i="4"/>
  <c r="P777" i="4"/>
  <c r="P737" i="4"/>
  <c r="X737" i="4"/>
  <c r="V737" i="4"/>
  <c r="P689" i="4"/>
  <c r="V689" i="4"/>
  <c r="X689" i="4"/>
  <c r="X649" i="4"/>
  <c r="V649" i="4"/>
  <c r="P649" i="4"/>
  <c r="P609" i="4"/>
  <c r="X609" i="4"/>
  <c r="V609" i="4"/>
  <c r="P577" i="4"/>
  <c r="X577" i="4"/>
  <c r="V577" i="4"/>
  <c r="X545" i="4"/>
  <c r="P545" i="4"/>
  <c r="V545" i="4"/>
  <c r="P505" i="4"/>
  <c r="V505" i="4"/>
  <c r="X505" i="4"/>
  <c r="P465" i="4"/>
  <c r="V465" i="4"/>
  <c r="X465" i="4"/>
  <c r="S425" i="4"/>
  <c r="P425" i="4"/>
  <c r="X425" i="4"/>
  <c r="V425" i="4"/>
  <c r="T385" i="4"/>
  <c r="P385" i="4"/>
  <c r="X385" i="4"/>
  <c r="V385" i="4"/>
  <c r="P337" i="4"/>
  <c r="X337" i="4"/>
  <c r="V337" i="4"/>
  <c r="T297" i="4"/>
  <c r="P297" i="4"/>
  <c r="X297" i="4"/>
  <c r="V297" i="4"/>
  <c r="P265" i="4"/>
  <c r="V265" i="4"/>
  <c r="X265" i="4"/>
  <c r="P233" i="4"/>
  <c r="X233" i="4"/>
  <c r="V233" i="4"/>
  <c r="V201" i="4"/>
  <c r="X201" i="4"/>
  <c r="P201" i="4"/>
  <c r="P169" i="4"/>
  <c r="X169" i="4"/>
  <c r="V169" i="4"/>
  <c r="P129" i="4"/>
  <c r="X129" i="4"/>
  <c r="V129" i="4"/>
  <c r="X89" i="4"/>
  <c r="P89" i="4"/>
  <c r="V89" i="4"/>
  <c r="P41" i="4"/>
  <c r="X41" i="4"/>
  <c r="V1115" i="4"/>
  <c r="V273" i="4"/>
  <c r="P754" i="4"/>
  <c r="P1120" i="4"/>
  <c r="X1120" i="4"/>
  <c r="V1120" i="4"/>
  <c r="P1096" i="4"/>
  <c r="X1096" i="4"/>
  <c r="V1096" i="4"/>
  <c r="P1080" i="4"/>
  <c r="X1080" i="4"/>
  <c r="V1080" i="4"/>
  <c r="P1032" i="4"/>
  <c r="X1032" i="4"/>
  <c r="V1032" i="4"/>
  <c r="X992" i="4"/>
  <c r="P992" i="4"/>
  <c r="V992" i="4"/>
  <c r="P960" i="4"/>
  <c r="X960" i="4"/>
  <c r="V960" i="4"/>
  <c r="P928" i="4"/>
  <c r="X928" i="4"/>
  <c r="V928" i="4"/>
  <c r="P896" i="4"/>
  <c r="X896" i="4"/>
  <c r="V896" i="4"/>
  <c r="P856" i="4"/>
  <c r="X856" i="4"/>
  <c r="V856" i="4"/>
  <c r="P784" i="4"/>
  <c r="V784" i="4"/>
  <c r="P744" i="4"/>
  <c r="X744" i="4"/>
  <c r="V744" i="4"/>
  <c r="U720" i="4"/>
  <c r="P720" i="4"/>
  <c r="X720" i="4"/>
  <c r="V720" i="4"/>
  <c r="P696" i="4"/>
  <c r="X696" i="4"/>
  <c r="P616" i="4"/>
  <c r="X616" i="4"/>
  <c r="V616" i="4"/>
  <c r="P1140" i="4"/>
  <c r="X1140" i="4"/>
  <c r="X1116" i="4"/>
  <c r="P1116" i="4"/>
  <c r="P1100" i="4"/>
  <c r="X1100" i="4"/>
  <c r="X1092" i="4"/>
  <c r="P1092" i="4"/>
  <c r="P1076" i="4"/>
  <c r="X1076" i="4"/>
  <c r="P1060" i="4"/>
  <c r="X1060" i="4"/>
  <c r="S1044" i="4"/>
  <c r="P1044" i="4"/>
  <c r="P1036" i="4"/>
  <c r="X1036" i="4"/>
  <c r="P1028" i="4"/>
  <c r="X1028" i="4"/>
  <c r="P1020" i="4"/>
  <c r="X1020" i="4"/>
  <c r="P1012" i="4"/>
  <c r="X1012" i="4"/>
  <c r="S1004" i="4"/>
  <c r="P1004" i="4"/>
  <c r="P996" i="4"/>
  <c r="X996" i="4"/>
  <c r="P988" i="4"/>
  <c r="X988" i="4"/>
  <c r="P980" i="4"/>
  <c r="X980" i="4"/>
  <c r="P972" i="4"/>
  <c r="X972" i="4"/>
  <c r="P964" i="4"/>
  <c r="X964" i="4"/>
  <c r="P956" i="4"/>
  <c r="X956" i="4"/>
  <c r="P948" i="4"/>
  <c r="X948" i="4"/>
  <c r="P940" i="4"/>
  <c r="X940" i="4"/>
  <c r="X932" i="4"/>
  <c r="P932" i="4"/>
  <c r="X924" i="4"/>
  <c r="P924" i="4"/>
  <c r="P916" i="4"/>
  <c r="X916" i="4"/>
  <c r="P908" i="4"/>
  <c r="X908" i="4"/>
  <c r="X900" i="4"/>
  <c r="P900" i="4"/>
  <c r="X892" i="4"/>
  <c r="P892" i="4"/>
  <c r="P884" i="4"/>
  <c r="X884" i="4"/>
  <c r="P876" i="4"/>
  <c r="X876" i="4"/>
  <c r="P868" i="4"/>
  <c r="X868" i="4"/>
  <c r="X860" i="4"/>
  <c r="P860" i="4"/>
  <c r="P852" i="4"/>
  <c r="X852" i="4"/>
  <c r="P844" i="4"/>
  <c r="X844" i="4"/>
  <c r="P836" i="4"/>
  <c r="X836" i="4"/>
  <c r="X828" i="4"/>
  <c r="P828" i="4"/>
  <c r="P820" i="4"/>
  <c r="X820" i="4"/>
  <c r="V820" i="4"/>
  <c r="P812" i="4"/>
  <c r="X812" i="4"/>
  <c r="V812" i="4"/>
  <c r="P804" i="4"/>
  <c r="X804" i="4"/>
  <c r="X796" i="4"/>
  <c r="P796" i="4"/>
  <c r="V796" i="4"/>
  <c r="P788" i="4"/>
  <c r="X788" i="4"/>
  <c r="P780" i="4"/>
  <c r="X780" i="4"/>
  <c r="X772" i="4"/>
  <c r="P772" i="4"/>
  <c r="V772" i="4"/>
  <c r="P764" i="4"/>
  <c r="X764" i="4"/>
  <c r="P756" i="4"/>
  <c r="X756" i="4"/>
  <c r="V756" i="4"/>
  <c r="P748" i="4"/>
  <c r="X748" i="4"/>
  <c r="V748" i="4"/>
  <c r="X740" i="4"/>
  <c r="P740" i="4"/>
  <c r="P732" i="4"/>
  <c r="X732" i="4"/>
  <c r="V732" i="4"/>
  <c r="P724" i="4"/>
  <c r="X724" i="4"/>
  <c r="P716" i="4"/>
  <c r="X716" i="4"/>
  <c r="X708" i="4"/>
  <c r="P708" i="4"/>
  <c r="V708" i="4"/>
  <c r="P700" i="4"/>
  <c r="X700" i="4"/>
  <c r="P692" i="4"/>
  <c r="X692" i="4"/>
  <c r="V692" i="4"/>
  <c r="P684" i="4"/>
  <c r="X684" i="4"/>
  <c r="V684" i="4"/>
  <c r="P676" i="4"/>
  <c r="X676" i="4"/>
  <c r="P668" i="4"/>
  <c r="X668" i="4"/>
  <c r="V668" i="4"/>
  <c r="U660" i="4"/>
  <c r="P660" i="4"/>
  <c r="X660" i="4"/>
  <c r="P652" i="4"/>
  <c r="X652" i="4"/>
  <c r="P644" i="4"/>
  <c r="X644" i="4"/>
  <c r="V644" i="4"/>
  <c r="U636" i="4"/>
  <c r="P636" i="4"/>
  <c r="X636" i="4"/>
  <c r="T628" i="4"/>
  <c r="P628" i="4"/>
  <c r="X628" i="4"/>
  <c r="V628" i="4"/>
  <c r="T620" i="4"/>
  <c r="P620" i="4"/>
  <c r="X620" i="4"/>
  <c r="V620" i="4"/>
  <c r="T612" i="4"/>
  <c r="P612" i="4"/>
  <c r="X612" i="4"/>
  <c r="T604" i="4"/>
  <c r="P604" i="4"/>
  <c r="X604" i="4"/>
  <c r="V604" i="4"/>
  <c r="T596" i="4"/>
  <c r="P596" i="4"/>
  <c r="X596" i="4"/>
  <c r="T588" i="4"/>
  <c r="P588" i="4"/>
  <c r="X588" i="4"/>
  <c r="T580" i="4"/>
  <c r="P580" i="4"/>
  <c r="X580" i="4"/>
  <c r="V580" i="4"/>
  <c r="U572" i="4"/>
  <c r="P572" i="4"/>
  <c r="X572" i="4"/>
  <c r="T564" i="4"/>
  <c r="P564" i="4"/>
  <c r="X564" i="4"/>
  <c r="V564" i="4"/>
  <c r="T556" i="4"/>
  <c r="P556" i="4"/>
  <c r="X556" i="4"/>
  <c r="V556" i="4"/>
  <c r="T548" i="4"/>
  <c r="P548" i="4"/>
  <c r="X548" i="4"/>
  <c r="T540" i="4"/>
  <c r="P540" i="4"/>
  <c r="X540" i="4"/>
  <c r="V540" i="4"/>
  <c r="U532" i="4"/>
  <c r="P532" i="4"/>
  <c r="X532" i="4"/>
  <c r="T524" i="4"/>
  <c r="P524" i="4"/>
  <c r="X524" i="4"/>
  <c r="T516" i="4"/>
  <c r="P516" i="4"/>
  <c r="X516" i="4"/>
  <c r="V516" i="4"/>
  <c r="U508" i="4"/>
  <c r="P508" i="4"/>
  <c r="X508" i="4"/>
  <c r="T500" i="4"/>
  <c r="P500" i="4"/>
  <c r="X500" i="4"/>
  <c r="V500" i="4"/>
  <c r="T492" i="4"/>
  <c r="P492" i="4"/>
  <c r="X492" i="4"/>
  <c r="V492" i="4"/>
  <c r="T484" i="4"/>
  <c r="P484" i="4"/>
  <c r="X484" i="4"/>
  <c r="T476" i="4"/>
  <c r="P476" i="4"/>
  <c r="X476" i="4"/>
  <c r="V476" i="4"/>
  <c r="T468" i="4"/>
  <c r="P468" i="4"/>
  <c r="X468" i="4"/>
  <c r="T460" i="4"/>
  <c r="P460" i="4"/>
  <c r="X460" i="4"/>
  <c r="U452" i="4"/>
  <c r="P452" i="4"/>
  <c r="X452" i="4"/>
  <c r="V452" i="4"/>
  <c r="T444" i="4"/>
  <c r="P444" i="4"/>
  <c r="X444" i="4"/>
  <c r="T436" i="4"/>
  <c r="P436" i="4"/>
  <c r="X436" i="4"/>
  <c r="V436" i="4"/>
  <c r="T428" i="4"/>
  <c r="P428" i="4"/>
  <c r="X428" i="4"/>
  <c r="V428" i="4"/>
  <c r="T420" i="4"/>
  <c r="P420" i="4"/>
  <c r="X420" i="4"/>
  <c r="T412" i="4"/>
  <c r="P412" i="4"/>
  <c r="X412" i="4"/>
  <c r="V412" i="4"/>
  <c r="T404" i="4"/>
  <c r="P404" i="4"/>
  <c r="X404" i="4"/>
  <c r="P396" i="4"/>
  <c r="X396" i="4"/>
  <c r="P388" i="4"/>
  <c r="X388" i="4"/>
  <c r="V388" i="4"/>
  <c r="T380" i="4"/>
  <c r="P380" i="4"/>
  <c r="X380" i="4"/>
  <c r="T372" i="4"/>
  <c r="P372" i="4"/>
  <c r="X372" i="4"/>
  <c r="V372" i="4"/>
  <c r="T364" i="4"/>
  <c r="P364" i="4"/>
  <c r="X364" i="4"/>
  <c r="V364" i="4"/>
  <c r="T356" i="4"/>
  <c r="P356" i="4"/>
  <c r="X356" i="4"/>
  <c r="T348" i="4"/>
  <c r="P348" i="4"/>
  <c r="X348" i="4"/>
  <c r="V348" i="4"/>
  <c r="T340" i="4"/>
  <c r="P340" i="4"/>
  <c r="X340" i="4"/>
  <c r="P332" i="4"/>
  <c r="X332" i="4"/>
  <c r="U324" i="4"/>
  <c r="P324" i="4"/>
  <c r="X324" i="4"/>
  <c r="V324" i="4"/>
  <c r="T316" i="4"/>
  <c r="P316" i="4"/>
  <c r="X316" i="4"/>
  <c r="T308" i="4"/>
  <c r="P308" i="4"/>
  <c r="X308" i="4"/>
  <c r="V308" i="4"/>
  <c r="T300" i="4"/>
  <c r="P300" i="4"/>
  <c r="X300" i="4"/>
  <c r="V300" i="4"/>
  <c r="P292" i="4"/>
  <c r="X292" i="4"/>
  <c r="P284" i="4"/>
  <c r="X284" i="4"/>
  <c r="V284" i="4"/>
  <c r="P276" i="4"/>
  <c r="X276" i="4"/>
  <c r="T268" i="4"/>
  <c r="P268" i="4"/>
  <c r="X268" i="4"/>
  <c r="V268" i="4"/>
  <c r="T260" i="4"/>
  <c r="P260" i="4"/>
  <c r="X260" i="4"/>
  <c r="V260" i="4"/>
  <c r="U252" i="4"/>
  <c r="P252" i="4"/>
  <c r="X252" i="4"/>
  <c r="V252" i="4"/>
  <c r="T244" i="4"/>
  <c r="P244" i="4"/>
  <c r="X244" i="4"/>
  <c r="V244" i="4"/>
  <c r="T236" i="4"/>
  <c r="P236" i="4"/>
  <c r="X236" i="4"/>
  <c r="V236" i="4"/>
  <c r="P228" i="4"/>
  <c r="X228" i="4"/>
  <c r="V228" i="4"/>
  <c r="P220" i="4"/>
  <c r="X220" i="4"/>
  <c r="T212" i="4"/>
  <c r="P212" i="4"/>
  <c r="X212" i="4"/>
  <c r="V212" i="4"/>
  <c r="P204" i="4"/>
  <c r="X204" i="4"/>
  <c r="U196" i="4"/>
  <c r="P196" i="4"/>
  <c r="X196" i="4"/>
  <c r="P188" i="4"/>
  <c r="X188" i="4"/>
  <c r="V188" i="4"/>
  <c r="T180" i="4"/>
  <c r="P180" i="4"/>
  <c r="X180" i="4"/>
  <c r="U172" i="4"/>
  <c r="P172" i="4"/>
  <c r="X172" i="4"/>
  <c r="V172" i="4"/>
  <c r="P164" i="4"/>
  <c r="X164" i="4"/>
  <c r="V164" i="4"/>
  <c r="P156" i="4"/>
  <c r="X156" i="4"/>
  <c r="T148" i="4"/>
  <c r="P148" i="4"/>
  <c r="X148" i="4"/>
  <c r="V148" i="4"/>
  <c r="P140" i="4"/>
  <c r="X140" i="4"/>
  <c r="P132" i="4"/>
  <c r="X132" i="4"/>
  <c r="V132" i="4"/>
  <c r="T124" i="4"/>
  <c r="P124" i="4"/>
  <c r="X124" i="4"/>
  <c r="V124" i="4"/>
  <c r="T116" i="4"/>
  <c r="P116" i="4"/>
  <c r="X116" i="4"/>
  <c r="U108" i="4"/>
  <c r="P108" i="4"/>
  <c r="X108" i="4"/>
  <c r="V108" i="4"/>
  <c r="P100" i="4"/>
  <c r="X100" i="4"/>
  <c r="V100" i="4"/>
  <c r="P92" i="4"/>
  <c r="X92" i="4"/>
  <c r="V92" i="4"/>
  <c r="P84" i="4"/>
  <c r="X84" i="4"/>
  <c r="V84" i="4"/>
  <c r="T76" i="4"/>
  <c r="P76" i="4"/>
  <c r="X76" i="4"/>
  <c r="P68" i="4"/>
  <c r="X68" i="4"/>
  <c r="V68" i="4"/>
  <c r="T60" i="4"/>
  <c r="P60" i="4"/>
  <c r="X60" i="4"/>
  <c r="V60" i="4"/>
  <c r="P52" i="4"/>
  <c r="X52" i="4"/>
  <c r="V52" i="4"/>
  <c r="U44" i="4"/>
  <c r="P44" i="4"/>
  <c r="V44" i="4"/>
  <c r="X44" i="4"/>
  <c r="U36" i="4"/>
  <c r="P36" i="4"/>
  <c r="X36" i="4"/>
  <c r="V36" i="4"/>
  <c r="T28" i="4"/>
  <c r="P28" i="4"/>
  <c r="X28" i="4"/>
  <c r="T276" i="4"/>
  <c r="V1146" i="4"/>
  <c r="V1107" i="4"/>
  <c r="V1082" i="4"/>
  <c r="V1068" i="4"/>
  <c r="V1043" i="4"/>
  <c r="V1018" i="4"/>
  <c r="V1004" i="4"/>
  <c r="V979" i="4"/>
  <c r="V964" i="4"/>
  <c r="V948" i="4"/>
  <c r="V932" i="4"/>
  <c r="V916" i="4"/>
  <c r="V900" i="4"/>
  <c r="V884" i="4"/>
  <c r="V868" i="4"/>
  <c r="V852" i="4"/>
  <c r="V835" i="4"/>
  <c r="V596" i="4"/>
  <c r="V572" i="4"/>
  <c r="V548" i="4"/>
  <c r="V524" i="4"/>
  <c r="V504" i="4"/>
  <c r="V480" i="4"/>
  <c r="V456" i="4"/>
  <c r="V368" i="4"/>
  <c r="V276" i="4"/>
  <c r="V243" i="4"/>
  <c r="V122" i="4"/>
  <c r="V82" i="4"/>
  <c r="X1147" i="4"/>
  <c r="X1107" i="4"/>
  <c r="X985" i="4"/>
  <c r="X944" i="4"/>
  <c r="X898" i="4"/>
  <c r="X793" i="4"/>
  <c r="X626" i="4"/>
  <c r="X506" i="4"/>
  <c r="X440" i="4"/>
  <c r="X312" i="4"/>
  <c r="P369" i="4"/>
  <c r="X751" i="4"/>
  <c r="X614" i="4"/>
  <c r="X591" i="4"/>
  <c r="X559" i="4"/>
  <c r="X526" i="4"/>
  <c r="X455" i="4"/>
  <c r="X422" i="4"/>
  <c r="P1094" i="4"/>
  <c r="P1006" i="4"/>
  <c r="P935" i="4"/>
  <c r="X935" i="4"/>
  <c r="P919" i="4"/>
  <c r="X919" i="4"/>
  <c r="U911" i="4"/>
  <c r="P911" i="4"/>
  <c r="P903" i="4"/>
  <c r="X903" i="4"/>
  <c r="X895" i="4"/>
  <c r="P895" i="4"/>
  <c r="P887" i="4"/>
  <c r="X887" i="4"/>
  <c r="U871" i="4"/>
  <c r="P871" i="4"/>
  <c r="X871" i="4"/>
  <c r="P855" i="4"/>
  <c r="X855" i="4"/>
  <c r="P839" i="4"/>
  <c r="X839" i="4"/>
  <c r="X831" i="4"/>
  <c r="P831" i="4"/>
  <c r="P823" i="4"/>
  <c r="X823" i="4"/>
  <c r="P799" i="4"/>
  <c r="X799" i="4"/>
  <c r="P791" i="4"/>
  <c r="X791" i="4"/>
  <c r="P767" i="4"/>
  <c r="X767" i="4"/>
  <c r="P759" i="4"/>
  <c r="X759" i="4"/>
  <c r="P735" i="4"/>
  <c r="X735" i="4"/>
  <c r="P727" i="4"/>
  <c r="X727" i="4"/>
  <c r="P719" i="4"/>
  <c r="X719" i="4"/>
  <c r="P703" i="4"/>
  <c r="X703" i="4"/>
  <c r="P695" i="4"/>
  <c r="X695" i="4"/>
  <c r="P687" i="4"/>
  <c r="X687" i="4"/>
  <c r="P663" i="4"/>
  <c r="X663" i="4"/>
  <c r="P655" i="4"/>
  <c r="X655" i="4"/>
  <c r="P639" i="4"/>
  <c r="X639" i="4"/>
  <c r="P631" i="4"/>
  <c r="X631" i="4"/>
  <c r="P615" i="4"/>
  <c r="X615" i="4"/>
  <c r="P607" i="4"/>
  <c r="X607" i="4"/>
  <c r="X599" i="4"/>
  <c r="P599" i="4"/>
  <c r="P583" i="4"/>
  <c r="X583" i="4"/>
  <c r="X575" i="4"/>
  <c r="P575" i="4"/>
  <c r="P567" i="4"/>
  <c r="X567" i="4"/>
  <c r="P551" i="4"/>
  <c r="X551" i="4"/>
  <c r="P535" i="4"/>
  <c r="X535" i="4"/>
  <c r="X511" i="4"/>
  <c r="P511" i="4"/>
  <c r="P503" i="4"/>
  <c r="X503" i="4"/>
  <c r="P487" i="4"/>
  <c r="X487" i="4"/>
  <c r="U479" i="4"/>
  <c r="P479" i="4"/>
  <c r="X479" i="4"/>
  <c r="P471" i="4"/>
  <c r="X471" i="4"/>
  <c r="P463" i="4"/>
  <c r="X463" i="4"/>
  <c r="P447" i="4"/>
  <c r="X447" i="4"/>
  <c r="P439" i="4"/>
  <c r="X439" i="4"/>
  <c r="P431" i="4"/>
  <c r="X431" i="4"/>
  <c r="P415" i="4"/>
  <c r="X415" i="4"/>
  <c r="P407" i="4"/>
  <c r="X407" i="4"/>
  <c r="P399" i="4"/>
  <c r="X399" i="4"/>
  <c r="P383" i="4"/>
  <c r="X383" i="4"/>
  <c r="P375" i="4"/>
  <c r="X375" i="4"/>
  <c r="P367" i="4"/>
  <c r="X367" i="4"/>
  <c r="P359" i="4"/>
  <c r="X359" i="4"/>
  <c r="U351" i="4"/>
  <c r="P351" i="4"/>
  <c r="P335" i="4"/>
  <c r="X335" i="4"/>
  <c r="P327" i="4"/>
  <c r="X327" i="4"/>
  <c r="P319" i="4"/>
  <c r="X319" i="4"/>
  <c r="P311" i="4"/>
  <c r="X311" i="4"/>
  <c r="P295" i="4"/>
  <c r="X295" i="4"/>
  <c r="P287" i="4"/>
  <c r="V287" i="4"/>
  <c r="X287" i="4"/>
  <c r="V279" i="4"/>
  <c r="P279" i="4"/>
  <c r="X279" i="4"/>
  <c r="P271" i="4"/>
  <c r="X271" i="4"/>
  <c r="V271" i="4"/>
  <c r="P263" i="4"/>
  <c r="V263" i="4"/>
  <c r="X263" i="4"/>
  <c r="P255" i="4"/>
  <c r="V255" i="4"/>
  <c r="X255" i="4"/>
  <c r="P247" i="4"/>
  <c r="V247" i="4"/>
  <c r="X247" i="4"/>
  <c r="P239" i="4"/>
  <c r="V239" i="4"/>
  <c r="X239" i="4"/>
  <c r="P231" i="4"/>
  <c r="X231" i="4"/>
  <c r="V231" i="4"/>
  <c r="P223" i="4"/>
  <c r="V223" i="4"/>
  <c r="X223" i="4"/>
  <c r="P215" i="4"/>
  <c r="V215" i="4"/>
  <c r="X215" i="4"/>
  <c r="P207" i="4"/>
  <c r="X207" i="4"/>
  <c r="V207" i="4"/>
  <c r="P199" i="4"/>
  <c r="V199" i="4"/>
  <c r="X199" i="4"/>
  <c r="P191" i="4"/>
  <c r="V191" i="4"/>
  <c r="X191" i="4"/>
  <c r="P183" i="4"/>
  <c r="V183" i="4"/>
  <c r="X183" i="4"/>
  <c r="U175" i="4"/>
  <c r="P175" i="4"/>
  <c r="V175" i="4"/>
  <c r="X175" i="4"/>
  <c r="P167" i="4"/>
  <c r="X167" i="4"/>
  <c r="V167" i="4"/>
  <c r="P159" i="4"/>
  <c r="V159" i="4"/>
  <c r="X159" i="4"/>
  <c r="P151" i="4"/>
  <c r="V151" i="4"/>
  <c r="X151" i="4"/>
  <c r="U143" i="4"/>
  <c r="P143" i="4"/>
  <c r="X143" i="4"/>
  <c r="V143" i="4"/>
  <c r="S135" i="4"/>
  <c r="V135" i="4"/>
  <c r="X135" i="4"/>
  <c r="P135" i="4"/>
  <c r="P127" i="4"/>
  <c r="V127" i="4"/>
  <c r="P119" i="4"/>
  <c r="V119" i="4"/>
  <c r="X119" i="4"/>
  <c r="P111" i="4"/>
  <c r="V111" i="4"/>
  <c r="X111" i="4"/>
  <c r="X103" i="4"/>
  <c r="V103" i="4"/>
  <c r="P103" i="4"/>
  <c r="P95" i="4"/>
  <c r="V95" i="4"/>
  <c r="X95" i="4"/>
  <c r="P87" i="4"/>
  <c r="V87" i="4"/>
  <c r="P79" i="4"/>
  <c r="X79" i="4"/>
  <c r="V79" i="4"/>
  <c r="P71" i="4"/>
  <c r="V71" i="4"/>
  <c r="X71" i="4"/>
  <c r="P63" i="4"/>
  <c r="V63" i="4"/>
  <c r="P55" i="4"/>
  <c r="V55" i="4"/>
  <c r="X55" i="4"/>
  <c r="P47" i="4"/>
  <c r="V47" i="4"/>
  <c r="X47" i="4"/>
  <c r="U39" i="4"/>
  <c r="P39" i="4"/>
  <c r="V39" i="4"/>
  <c r="X39" i="4"/>
  <c r="P31" i="4"/>
  <c r="X31" i="4"/>
  <c r="V831" i="4"/>
  <c r="V797" i="4"/>
  <c r="V783" i="4"/>
  <c r="V733" i="4"/>
  <c r="V719" i="4"/>
  <c r="V655" i="4"/>
  <c r="V591" i="4"/>
  <c r="V527" i="4"/>
  <c r="V477" i="4"/>
  <c r="V463" i="4"/>
  <c r="V399" i="4"/>
  <c r="V335" i="4"/>
  <c r="X910" i="4"/>
  <c r="X861" i="4"/>
  <c r="X830" i="4"/>
  <c r="X750" i="4"/>
  <c r="X519" i="4"/>
  <c r="X486" i="4"/>
  <c r="X382" i="4"/>
  <c r="X343" i="4"/>
  <c r="X303" i="4"/>
  <c r="X253" i="4"/>
  <c r="X205" i="4"/>
  <c r="X87" i="4"/>
  <c r="P1093" i="4"/>
  <c r="T1150" i="4"/>
  <c r="P1150" i="4"/>
  <c r="X1150" i="4"/>
  <c r="X1134" i="4"/>
  <c r="P1134" i="4"/>
  <c r="T1118" i="4"/>
  <c r="X1118" i="4"/>
  <c r="T1086" i="4"/>
  <c r="P1086" i="4"/>
  <c r="X1086" i="4"/>
  <c r="X1070" i="4"/>
  <c r="P1070" i="4"/>
  <c r="U1054" i="4"/>
  <c r="X1054" i="4"/>
  <c r="X1038" i="4"/>
  <c r="P1038" i="4"/>
  <c r="T1022" i="4"/>
  <c r="P1022" i="4"/>
  <c r="X1022" i="4"/>
  <c r="P990" i="4"/>
  <c r="X990" i="4"/>
  <c r="T982" i="4"/>
  <c r="P982" i="4"/>
  <c r="X982" i="4"/>
  <c r="P966" i="4"/>
  <c r="X966" i="4"/>
  <c r="T950" i="4"/>
  <c r="P950" i="4"/>
  <c r="X950" i="4"/>
  <c r="T942" i="4"/>
  <c r="P942" i="4"/>
  <c r="X942" i="4"/>
  <c r="P934" i="4"/>
  <c r="X934" i="4"/>
  <c r="P902" i="4"/>
  <c r="X902" i="4"/>
  <c r="P886" i="4"/>
  <c r="X886" i="4"/>
  <c r="T870" i="4"/>
  <c r="P870" i="4"/>
  <c r="T854" i="4"/>
  <c r="P854" i="4"/>
  <c r="X854" i="4"/>
  <c r="P838" i="4"/>
  <c r="X838" i="4"/>
  <c r="T822" i="4"/>
  <c r="P822" i="4"/>
  <c r="X822" i="4"/>
  <c r="T814" i="4"/>
  <c r="P814" i="4"/>
  <c r="P806" i="4"/>
  <c r="X806" i="4"/>
  <c r="P790" i="4"/>
  <c r="X790" i="4"/>
  <c r="T782" i="4"/>
  <c r="P782" i="4"/>
  <c r="P774" i="4"/>
  <c r="X774" i="4"/>
  <c r="P758" i="4"/>
  <c r="X758" i="4"/>
  <c r="P734" i="4"/>
  <c r="X734" i="4"/>
  <c r="P702" i="4"/>
  <c r="X702" i="4"/>
  <c r="P694" i="4"/>
  <c r="X694" i="4"/>
  <c r="T686" i="4"/>
  <c r="P686" i="4"/>
  <c r="X686" i="4"/>
  <c r="P670" i="4"/>
  <c r="X670" i="4"/>
  <c r="P654" i="4"/>
  <c r="X654" i="4"/>
  <c r="T622" i="4"/>
  <c r="P622" i="4"/>
  <c r="X622" i="4"/>
  <c r="T590" i="4"/>
  <c r="P590" i="4"/>
  <c r="T558" i="4"/>
  <c r="P558" i="4"/>
  <c r="X558" i="4"/>
  <c r="P534" i="4"/>
  <c r="X534" i="4"/>
  <c r="P502" i="4"/>
  <c r="X502" i="4"/>
  <c r="T494" i="4"/>
  <c r="P494" i="4"/>
  <c r="P478" i="4"/>
  <c r="X478" i="4"/>
  <c r="P446" i="4"/>
  <c r="X446" i="4"/>
  <c r="P406" i="4"/>
  <c r="X406" i="4"/>
  <c r="T358" i="4"/>
  <c r="P358" i="4"/>
  <c r="X358" i="4"/>
  <c r="P342" i="4"/>
  <c r="X342" i="4"/>
  <c r="P318" i="4"/>
  <c r="X318" i="4"/>
  <c r="P302" i="4"/>
  <c r="X302" i="4"/>
  <c r="P286" i="4"/>
  <c r="X286" i="4"/>
  <c r="P270" i="4"/>
  <c r="X270" i="4"/>
  <c r="V270" i="4"/>
  <c r="T254" i="4"/>
  <c r="P254" i="4"/>
  <c r="X254" i="4"/>
  <c r="P214" i="4"/>
  <c r="V214" i="4"/>
  <c r="X214" i="4"/>
  <c r="P198" i="4"/>
  <c r="V198" i="4"/>
  <c r="X198" i="4"/>
  <c r="P190" i="4"/>
  <c r="V190" i="4"/>
  <c r="P166" i="4"/>
  <c r="V166" i="4"/>
  <c r="P150" i="4"/>
  <c r="V150" i="4"/>
  <c r="P134" i="4"/>
  <c r="V134" i="4"/>
  <c r="X134" i="4"/>
  <c r="P126" i="4"/>
  <c r="V126" i="4"/>
  <c r="P110" i="4"/>
  <c r="V110" i="4"/>
  <c r="P94" i="4"/>
  <c r="V94" i="4"/>
  <c r="X94" i="4"/>
  <c r="P86" i="4"/>
  <c r="V86" i="4"/>
  <c r="P70" i="4"/>
  <c r="V70" i="4"/>
  <c r="P62" i="4"/>
  <c r="V62" i="4"/>
  <c r="P54" i="4"/>
  <c r="X54" i="4"/>
  <c r="V54" i="4"/>
  <c r="P46" i="4"/>
  <c r="X46" i="4"/>
  <c r="V46" i="4"/>
  <c r="P38" i="4"/>
  <c r="X38" i="4"/>
  <c r="V38" i="4"/>
  <c r="T30" i="4"/>
  <c r="P30" i="4"/>
  <c r="X30" i="4"/>
  <c r="V839" i="4"/>
  <c r="V807" i="4"/>
  <c r="V782" i="4"/>
  <c r="V743" i="4"/>
  <c r="V718" i="4"/>
  <c r="V679" i="4"/>
  <c r="V654" i="4"/>
  <c r="V615" i="4"/>
  <c r="V590" i="4"/>
  <c r="V551" i="4"/>
  <c r="V526" i="4"/>
  <c r="V487" i="4"/>
  <c r="V462" i="4"/>
  <c r="V423" i="4"/>
  <c r="V359" i="4"/>
  <c r="V295" i="4"/>
  <c r="V230" i="4"/>
  <c r="X909" i="4"/>
  <c r="X829" i="4"/>
  <c r="X798" i="4"/>
  <c r="X775" i="4"/>
  <c r="X718" i="4"/>
  <c r="X638" i="4"/>
  <c r="X510" i="4"/>
  <c r="X333" i="4"/>
  <c r="X293" i="4"/>
  <c r="X190" i="4"/>
  <c r="X86" i="4"/>
  <c r="P671" i="4"/>
  <c r="P1142" i="4"/>
  <c r="X1142" i="4"/>
  <c r="T1126" i="4"/>
  <c r="P1126" i="4"/>
  <c r="X1126" i="4"/>
  <c r="T1110" i="4"/>
  <c r="P1110" i="4"/>
  <c r="X1110" i="4"/>
  <c r="P1102" i="4"/>
  <c r="X1102" i="4"/>
  <c r="X1078" i="4"/>
  <c r="P1078" i="4"/>
  <c r="T1062" i="4"/>
  <c r="P1062" i="4"/>
  <c r="X1062" i="4"/>
  <c r="T1046" i="4"/>
  <c r="P1046" i="4"/>
  <c r="X1046" i="4"/>
  <c r="X1030" i="4"/>
  <c r="P1030" i="4"/>
  <c r="T1014" i="4"/>
  <c r="X1014" i="4"/>
  <c r="T998" i="4"/>
  <c r="P998" i="4"/>
  <c r="X998" i="4"/>
  <c r="T974" i="4"/>
  <c r="P974" i="4"/>
  <c r="X974" i="4"/>
  <c r="T958" i="4"/>
  <c r="P958" i="4"/>
  <c r="X958" i="4"/>
  <c r="T918" i="4"/>
  <c r="P918" i="4"/>
  <c r="X918" i="4"/>
  <c r="P894" i="4"/>
  <c r="X894" i="4"/>
  <c r="T878" i="4"/>
  <c r="P878" i="4"/>
  <c r="X878" i="4"/>
  <c r="T862" i="4"/>
  <c r="P862" i="4"/>
  <c r="T846" i="4"/>
  <c r="P846" i="4"/>
  <c r="T830" i="4"/>
  <c r="P830" i="4"/>
  <c r="P726" i="4"/>
  <c r="X726" i="4"/>
  <c r="P662" i="4"/>
  <c r="X662" i="4"/>
  <c r="P630" i="4"/>
  <c r="X630" i="4"/>
  <c r="P598" i="4"/>
  <c r="X598" i="4"/>
  <c r="P582" i="4"/>
  <c r="X582" i="4"/>
  <c r="P566" i="4"/>
  <c r="X566" i="4"/>
  <c r="P550" i="4"/>
  <c r="X550" i="4"/>
  <c r="P518" i="4"/>
  <c r="X518" i="4"/>
  <c r="P470" i="4"/>
  <c r="X470" i="4"/>
  <c r="P454" i="4"/>
  <c r="X454" i="4"/>
  <c r="P438" i="4"/>
  <c r="X438" i="4"/>
  <c r="T430" i="4"/>
  <c r="P430" i="4"/>
  <c r="X430" i="4"/>
  <c r="P414" i="4"/>
  <c r="X414" i="4"/>
  <c r="P398" i="4"/>
  <c r="X398" i="4"/>
  <c r="P374" i="4"/>
  <c r="X374" i="4"/>
  <c r="P350" i="4"/>
  <c r="X350" i="4"/>
  <c r="P334" i="4"/>
  <c r="X334" i="4"/>
  <c r="P310" i="4"/>
  <c r="X310" i="4"/>
  <c r="P294" i="4"/>
  <c r="X294" i="4"/>
  <c r="P278" i="4"/>
  <c r="V278" i="4"/>
  <c r="X278" i="4"/>
  <c r="P262" i="4"/>
  <c r="X262" i="4"/>
  <c r="P246" i="4"/>
  <c r="X246" i="4"/>
  <c r="V246" i="4"/>
  <c r="P238" i="4"/>
  <c r="X238" i="4"/>
  <c r="V238" i="4"/>
  <c r="P222" i="4"/>
  <c r="V222" i="4"/>
  <c r="X222" i="4"/>
  <c r="P206" i="4"/>
  <c r="X206" i="4"/>
  <c r="V206" i="4"/>
  <c r="P182" i="4"/>
  <c r="V182" i="4"/>
  <c r="X182" i="4"/>
  <c r="P174" i="4"/>
  <c r="V174" i="4"/>
  <c r="X174" i="4"/>
  <c r="P158" i="4"/>
  <c r="V158" i="4"/>
  <c r="X158" i="4"/>
  <c r="P142" i="4"/>
  <c r="X142" i="4"/>
  <c r="V142" i="4"/>
  <c r="P118" i="4"/>
  <c r="V118" i="4"/>
  <c r="X118" i="4"/>
  <c r="P102" i="4"/>
  <c r="V102" i="4"/>
  <c r="P78" i="4"/>
  <c r="X78" i="4"/>
  <c r="V78" i="4"/>
  <c r="X1141" i="4"/>
  <c r="P1141" i="4"/>
  <c r="T1133" i="4"/>
  <c r="P1133" i="4"/>
  <c r="X1117" i="4"/>
  <c r="P1117" i="4"/>
  <c r="P1101" i="4"/>
  <c r="X1101" i="4"/>
  <c r="X1077" i="4"/>
  <c r="P1077" i="4"/>
  <c r="P1037" i="4"/>
  <c r="X1037" i="4"/>
  <c r="T1029" i="4"/>
  <c r="P1029" i="4"/>
  <c r="T1005" i="4"/>
  <c r="P1005" i="4"/>
  <c r="P989" i="4"/>
  <c r="X989" i="4"/>
  <c r="P973" i="4"/>
  <c r="X973" i="4"/>
  <c r="T965" i="4"/>
  <c r="P965" i="4"/>
  <c r="P949" i="4"/>
  <c r="X949" i="4"/>
  <c r="T941" i="4"/>
  <c r="P941" i="4"/>
  <c r="X941" i="4"/>
  <c r="P933" i="4"/>
  <c r="X933" i="4"/>
  <c r="P885" i="4"/>
  <c r="X885" i="4"/>
  <c r="T877" i="4"/>
  <c r="P877" i="4"/>
  <c r="X877" i="4"/>
  <c r="P853" i="4"/>
  <c r="X853" i="4"/>
  <c r="P845" i="4"/>
  <c r="X845" i="4"/>
  <c r="T837" i="4"/>
  <c r="P837" i="4"/>
  <c r="P821" i="4"/>
  <c r="X821" i="4"/>
  <c r="P813" i="4"/>
  <c r="X813" i="4"/>
  <c r="P805" i="4"/>
  <c r="X805" i="4"/>
  <c r="P789" i="4"/>
  <c r="X789" i="4"/>
  <c r="P781" i="4"/>
  <c r="X781" i="4"/>
  <c r="T773" i="4"/>
  <c r="P773" i="4"/>
  <c r="X773" i="4"/>
  <c r="P757" i="4"/>
  <c r="X757" i="4"/>
  <c r="T749" i="4"/>
  <c r="P749" i="4"/>
  <c r="X749" i="4"/>
  <c r="P741" i="4"/>
  <c r="X741" i="4"/>
  <c r="P725" i="4"/>
  <c r="X725" i="4"/>
  <c r="P717" i="4"/>
  <c r="X717" i="4"/>
  <c r="T709" i="4"/>
  <c r="P709" i="4"/>
  <c r="P701" i="4"/>
  <c r="X701" i="4"/>
  <c r="P693" i="4"/>
  <c r="X693" i="4"/>
  <c r="T685" i="4"/>
  <c r="P685" i="4"/>
  <c r="X685" i="4"/>
  <c r="P669" i="4"/>
  <c r="X669" i="4"/>
  <c r="P661" i="4"/>
  <c r="X661" i="4"/>
  <c r="P653" i="4"/>
  <c r="X653" i="4"/>
  <c r="T645" i="4"/>
  <c r="P645" i="4"/>
  <c r="T637" i="4"/>
  <c r="P637" i="4"/>
  <c r="X637" i="4"/>
  <c r="T629" i="4"/>
  <c r="P629" i="4"/>
  <c r="X629" i="4"/>
  <c r="T621" i="4"/>
  <c r="P621" i="4"/>
  <c r="X621" i="4"/>
  <c r="T613" i="4"/>
  <c r="P613" i="4"/>
  <c r="T605" i="4"/>
  <c r="P605" i="4"/>
  <c r="T597" i="4"/>
  <c r="P597" i="4"/>
  <c r="X597" i="4"/>
  <c r="T589" i="4"/>
  <c r="P589" i="4"/>
  <c r="X589" i="4"/>
  <c r="T581" i="4"/>
  <c r="P581" i="4"/>
  <c r="T573" i="4"/>
  <c r="P573" i="4"/>
  <c r="X573" i="4"/>
  <c r="T565" i="4"/>
  <c r="P565" i="4"/>
  <c r="X565" i="4"/>
  <c r="P557" i="4"/>
  <c r="X557" i="4"/>
  <c r="U549" i="4"/>
  <c r="P549" i="4"/>
  <c r="X549" i="4"/>
  <c r="T541" i="4"/>
  <c r="P541" i="4"/>
  <c r="P533" i="4"/>
  <c r="X533" i="4"/>
  <c r="T525" i="4"/>
  <c r="P525" i="4"/>
  <c r="X525" i="4"/>
  <c r="T517" i="4"/>
  <c r="P517" i="4"/>
  <c r="X517" i="4"/>
  <c r="P501" i="4"/>
  <c r="X501" i="4"/>
  <c r="T493" i="4"/>
  <c r="P493" i="4"/>
  <c r="X493" i="4"/>
  <c r="T485" i="4"/>
  <c r="P485" i="4"/>
  <c r="X485" i="4"/>
  <c r="U477" i="4"/>
  <c r="P477" i="4"/>
  <c r="P469" i="4"/>
  <c r="X469" i="4"/>
  <c r="T461" i="4"/>
  <c r="P461" i="4"/>
  <c r="X461" i="4"/>
  <c r="T453" i="4"/>
  <c r="P453" i="4"/>
  <c r="T445" i="4"/>
  <c r="P445" i="4"/>
  <c r="X445" i="4"/>
  <c r="T437" i="4"/>
  <c r="P437" i="4"/>
  <c r="X437" i="4"/>
  <c r="T429" i="4"/>
  <c r="P429" i="4"/>
  <c r="X429" i="4"/>
  <c r="P421" i="4"/>
  <c r="X421" i="4"/>
  <c r="T413" i="4"/>
  <c r="P413" i="4"/>
  <c r="X413" i="4"/>
  <c r="P405" i="4"/>
  <c r="X405" i="4"/>
  <c r="P397" i="4"/>
  <c r="X397" i="4"/>
  <c r="T381" i="4"/>
  <c r="P381" i="4"/>
  <c r="X381" i="4"/>
  <c r="T373" i="4"/>
  <c r="P373" i="4"/>
  <c r="X373" i="4"/>
  <c r="T365" i="4"/>
  <c r="P365" i="4"/>
  <c r="X365" i="4"/>
  <c r="T357" i="4"/>
  <c r="P357" i="4"/>
  <c r="X357" i="4"/>
  <c r="U349" i="4"/>
  <c r="P349" i="4"/>
  <c r="X349" i="4"/>
  <c r="P341" i="4"/>
  <c r="X341" i="4"/>
  <c r="Q325" i="4"/>
  <c r="P325" i="4"/>
  <c r="X325" i="4"/>
  <c r="T317" i="4"/>
  <c r="P317" i="4"/>
  <c r="X317" i="4"/>
  <c r="T309" i="4"/>
  <c r="P309" i="4"/>
  <c r="X309" i="4"/>
  <c r="P301" i="4"/>
  <c r="X301" i="4"/>
  <c r="P285" i="4"/>
  <c r="X285" i="4"/>
  <c r="T277" i="4"/>
  <c r="P277" i="4"/>
  <c r="X277" i="4"/>
  <c r="T269" i="4"/>
  <c r="P269" i="4"/>
  <c r="V269" i="4"/>
  <c r="P261" i="4"/>
  <c r="X261" i="4"/>
  <c r="T245" i="4"/>
  <c r="P245" i="4"/>
  <c r="X245" i="4"/>
  <c r="P237" i="4"/>
  <c r="X237" i="4"/>
  <c r="V237" i="4"/>
  <c r="U221" i="4"/>
  <c r="P221" i="4"/>
  <c r="X221" i="4"/>
  <c r="P213" i="4"/>
  <c r="V213" i="4"/>
  <c r="U197" i="4"/>
  <c r="P197" i="4"/>
  <c r="X197" i="4"/>
  <c r="P189" i="4"/>
  <c r="V189" i="4"/>
  <c r="P181" i="4"/>
  <c r="X181" i="4"/>
  <c r="T173" i="4"/>
  <c r="P173" i="4"/>
  <c r="V173" i="4"/>
  <c r="P157" i="4"/>
  <c r="X157" i="4"/>
  <c r="T149" i="4"/>
  <c r="P149" i="4"/>
  <c r="V149" i="4"/>
  <c r="T141" i="4"/>
  <c r="P141" i="4"/>
  <c r="X141" i="4"/>
  <c r="P133" i="4"/>
  <c r="X133" i="4"/>
  <c r="P125" i="4"/>
  <c r="V125" i="4"/>
  <c r="P117" i="4"/>
  <c r="X117" i="4"/>
  <c r="P109" i="4"/>
  <c r="V109" i="4"/>
  <c r="T101" i="4"/>
  <c r="P101" i="4"/>
  <c r="X101" i="4"/>
  <c r="P93" i="4"/>
  <c r="X93" i="4"/>
  <c r="P85" i="4"/>
  <c r="V85" i="4"/>
  <c r="P77" i="4"/>
  <c r="X77" i="4"/>
  <c r="P69" i="4"/>
  <c r="X69" i="4"/>
  <c r="P61" i="4"/>
  <c r="V61" i="4"/>
  <c r="X61" i="4"/>
  <c r="P53" i="4"/>
  <c r="X53" i="4"/>
  <c r="P45" i="4"/>
  <c r="V45" i="4"/>
  <c r="P37" i="4"/>
  <c r="X37" i="4"/>
  <c r="P29" i="4"/>
  <c r="X29" i="4"/>
  <c r="T501" i="4"/>
  <c r="V943" i="4"/>
  <c r="V935" i="4"/>
  <c r="V927" i="4"/>
  <c r="V919" i="4"/>
  <c r="V911" i="4"/>
  <c r="V903" i="4"/>
  <c r="V895" i="4"/>
  <c r="V887" i="4"/>
  <c r="V879" i="4"/>
  <c r="V871" i="4"/>
  <c r="V863" i="4"/>
  <c r="V855" i="4"/>
  <c r="V847" i="4"/>
  <c r="V838" i="4"/>
  <c r="V829" i="4"/>
  <c r="V806" i="4"/>
  <c r="V781" i="4"/>
  <c r="V767" i="4"/>
  <c r="V742" i="4"/>
  <c r="V717" i="4"/>
  <c r="V703" i="4"/>
  <c r="V678" i="4"/>
  <c r="V653" i="4"/>
  <c r="V639" i="4"/>
  <c r="V614" i="4"/>
  <c r="V589" i="4"/>
  <c r="V575" i="4"/>
  <c r="V550" i="4"/>
  <c r="V525" i="4"/>
  <c r="V511" i="4"/>
  <c r="V486" i="4"/>
  <c r="V461" i="4"/>
  <c r="V447" i="4"/>
  <c r="V422" i="4"/>
  <c r="V397" i="4"/>
  <c r="V383" i="4"/>
  <c r="V358" i="4"/>
  <c r="V333" i="4"/>
  <c r="V319" i="4"/>
  <c r="V294" i="4"/>
  <c r="V277" i="4"/>
  <c r="V262" i="4"/>
  <c r="V229" i="4"/>
  <c r="X927" i="4"/>
  <c r="X901" i="4"/>
  <c r="X797" i="4"/>
  <c r="X766" i="4"/>
  <c r="X743" i="4"/>
  <c r="X606" i="4"/>
  <c r="X542" i="4"/>
  <c r="X509" i="4"/>
  <c r="X189" i="4"/>
  <c r="X127" i="4"/>
  <c r="X85" i="4"/>
  <c r="P1054" i="4"/>
  <c r="T1134" i="4"/>
  <c r="T813" i="4"/>
  <c r="T250" i="4"/>
  <c r="U453" i="4"/>
  <c r="O22" i="4"/>
  <c r="J22" i="4" s="1"/>
  <c r="Q22" i="4" s="1"/>
  <c r="U22" i="4" s="1"/>
  <c r="T227" i="4"/>
  <c r="T403" i="4"/>
  <c r="O27" i="4"/>
  <c r="J27" i="4" s="1"/>
  <c r="Q27" i="4" s="1"/>
  <c r="U27" i="4" s="1"/>
  <c r="O26" i="4"/>
  <c r="J26" i="4" s="1"/>
  <c r="Q26" i="4" s="1"/>
  <c r="U26" i="4" s="1"/>
  <c r="O18" i="4"/>
  <c r="J18" i="4" s="1"/>
  <c r="Q18" i="4" s="1"/>
  <c r="U18" i="4" s="1"/>
  <c r="O12" i="4"/>
  <c r="J12" i="4" s="1"/>
  <c r="Q12" i="4" s="1"/>
  <c r="U12" i="4" s="1"/>
  <c r="O20" i="4"/>
  <c r="J20" i="4" s="1"/>
  <c r="Q20" i="4" s="1"/>
  <c r="U20" i="4" s="1"/>
  <c r="O17" i="4"/>
  <c r="J17" i="4" s="1"/>
  <c r="Q17" i="4" s="1"/>
  <c r="U17" i="4" s="1"/>
  <c r="O21" i="4"/>
  <c r="J21" i="4" s="1"/>
  <c r="O23" i="4"/>
  <c r="J23" i="4" s="1"/>
  <c r="O13" i="4"/>
  <c r="J13" i="4" s="1"/>
  <c r="S13" i="4" s="1"/>
  <c r="O24" i="4"/>
  <c r="J24" i="4" s="1"/>
  <c r="Q24" i="4" s="1"/>
  <c r="O14" i="4"/>
  <c r="J14" i="4" s="1"/>
  <c r="S14" i="4" s="1"/>
  <c r="O25" i="4"/>
  <c r="J25" i="4" s="1"/>
  <c r="Q25" i="4" s="1"/>
  <c r="U25" i="4" s="1"/>
  <c r="T901" i="4"/>
  <c r="U925" i="4"/>
  <c r="U380" i="4"/>
  <c r="O16" i="4"/>
  <c r="J16" i="4" s="1"/>
  <c r="T16" i="4" s="1"/>
  <c r="T376" i="4"/>
  <c r="T349" i="4"/>
  <c r="T140" i="4"/>
  <c r="U140" i="4"/>
  <c r="T549" i="4"/>
  <c r="T469" i="4"/>
  <c r="U277" i="4"/>
  <c r="O19" i="4"/>
  <c r="J19" i="4" s="1"/>
  <c r="T477" i="4"/>
  <c r="O15" i="4"/>
  <c r="J15" i="4" s="1"/>
  <c r="S15" i="4" s="1"/>
  <c r="T427" i="4"/>
  <c r="U427" i="4"/>
  <c r="T533" i="4"/>
  <c r="U613" i="4"/>
  <c r="U275" i="4"/>
  <c r="T557" i="4"/>
  <c r="U596" i="4"/>
  <c r="U483" i="4"/>
  <c r="S1143" i="4"/>
  <c r="U1143" i="4"/>
  <c r="Q1143" i="4"/>
  <c r="T1143" i="4"/>
  <c r="Q1103" i="4"/>
  <c r="S1103" i="4"/>
  <c r="T1103" i="4"/>
  <c r="U1103" i="4"/>
  <c r="Q1055" i="4"/>
  <c r="S1055" i="4"/>
  <c r="U1055" i="4"/>
  <c r="T1055" i="4"/>
  <c r="Q1007" i="4"/>
  <c r="S1007" i="4"/>
  <c r="T1007" i="4"/>
  <c r="Q959" i="4"/>
  <c r="S959" i="4"/>
  <c r="T959" i="4"/>
  <c r="Q895" i="4"/>
  <c r="S895" i="4"/>
  <c r="U895" i="4"/>
  <c r="T895" i="4"/>
  <c r="Q831" i="4"/>
  <c r="S831" i="4"/>
  <c r="U831" i="4"/>
  <c r="T831" i="4"/>
  <c r="Q783" i="4"/>
  <c r="S783" i="4"/>
  <c r="T783" i="4"/>
  <c r="U783" i="4"/>
  <c r="Q727" i="4"/>
  <c r="S727" i="4"/>
  <c r="U727" i="4"/>
  <c r="T727" i="4"/>
  <c r="Q679" i="4"/>
  <c r="S679" i="4"/>
  <c r="T679" i="4"/>
  <c r="U679" i="4"/>
  <c r="Q623" i="4"/>
  <c r="S623" i="4"/>
  <c r="U623" i="4"/>
  <c r="T623" i="4"/>
  <c r="Q559" i="4"/>
  <c r="S559" i="4"/>
  <c r="U559" i="4"/>
  <c r="T559" i="4"/>
  <c r="Q439" i="4"/>
  <c r="S439" i="4"/>
  <c r="U439" i="4"/>
  <c r="T439" i="4"/>
  <c r="Q1142" i="4"/>
  <c r="S1142" i="4"/>
  <c r="U1142" i="4"/>
  <c r="S1094" i="4"/>
  <c r="Q1094" i="4"/>
  <c r="U1094" i="4"/>
  <c r="Q1038" i="4"/>
  <c r="S1038" i="4"/>
  <c r="U1038" i="4"/>
  <c r="Q990" i="4"/>
  <c r="S990" i="4"/>
  <c r="Q934" i="4"/>
  <c r="S934" i="4"/>
  <c r="U934" i="4"/>
  <c r="Q894" i="4"/>
  <c r="S894" i="4"/>
  <c r="U894" i="4"/>
  <c r="Q838" i="4"/>
  <c r="S838" i="4"/>
  <c r="U838" i="4"/>
  <c r="Q814" i="4"/>
  <c r="S814" i="4"/>
  <c r="U814" i="4"/>
  <c r="Q806" i="4"/>
  <c r="S806" i="4"/>
  <c r="U806" i="4"/>
  <c r="S790" i="4"/>
  <c r="U790" i="4"/>
  <c r="Q790" i="4"/>
  <c r="Q774" i="4"/>
  <c r="S774" i="4"/>
  <c r="U774" i="4"/>
  <c r="Q766" i="4"/>
  <c r="S766" i="4"/>
  <c r="U766" i="4"/>
  <c r="Q758" i="4"/>
  <c r="S758" i="4"/>
  <c r="U758" i="4"/>
  <c r="S750" i="4"/>
  <c r="U750" i="4"/>
  <c r="Q750" i="4"/>
  <c r="Q742" i="4"/>
  <c r="S742" i="4"/>
  <c r="U742" i="4"/>
  <c r="Q734" i="4"/>
  <c r="S734" i="4"/>
  <c r="U734" i="4"/>
  <c r="Q726" i="4"/>
  <c r="S726" i="4"/>
  <c r="U726" i="4"/>
  <c r="Q718" i="4"/>
  <c r="S718" i="4"/>
  <c r="U718" i="4"/>
  <c r="Q710" i="4"/>
  <c r="S710" i="4"/>
  <c r="U710" i="4"/>
  <c r="Q702" i="4"/>
  <c r="S702" i="4"/>
  <c r="U702" i="4"/>
  <c r="Q694" i="4"/>
  <c r="S694" i="4"/>
  <c r="U694" i="4"/>
  <c r="Q686" i="4"/>
  <c r="S686" i="4"/>
  <c r="U686" i="4"/>
  <c r="Q678" i="4"/>
  <c r="S678" i="4"/>
  <c r="U678" i="4"/>
  <c r="Q670" i="4"/>
  <c r="S670" i="4"/>
  <c r="U670" i="4"/>
  <c r="Q662" i="4"/>
  <c r="S662" i="4"/>
  <c r="U662" i="4"/>
  <c r="Q654" i="4"/>
  <c r="S654" i="4"/>
  <c r="U654" i="4"/>
  <c r="Q646" i="4"/>
  <c r="S646" i="4"/>
  <c r="U646" i="4"/>
  <c r="Q638" i="4"/>
  <c r="S638" i="4"/>
  <c r="U638" i="4"/>
  <c r="Q630" i="4"/>
  <c r="S630" i="4"/>
  <c r="U630" i="4"/>
  <c r="Q622" i="4"/>
  <c r="S622" i="4"/>
  <c r="U622" i="4"/>
  <c r="Q614" i="4"/>
  <c r="S614" i="4"/>
  <c r="U614" i="4"/>
  <c r="Q606" i="4"/>
  <c r="S606" i="4"/>
  <c r="U606" i="4"/>
  <c r="S598" i="4"/>
  <c r="U598" i="4"/>
  <c r="Q598" i="4"/>
  <c r="Q574" i="4"/>
  <c r="S574" i="4"/>
  <c r="U574" i="4"/>
  <c r="Q534" i="4"/>
  <c r="S534" i="4"/>
  <c r="U534" i="4"/>
  <c r="Q526" i="4"/>
  <c r="S526" i="4"/>
  <c r="U526" i="4"/>
  <c r="Q518" i="4"/>
  <c r="S518" i="4"/>
  <c r="U518" i="4"/>
  <c r="Q510" i="4"/>
  <c r="U510" i="4"/>
  <c r="S510" i="4"/>
  <c r="Q502" i="4"/>
  <c r="S502" i="4"/>
  <c r="U502" i="4"/>
  <c r="Q494" i="4"/>
  <c r="S494" i="4"/>
  <c r="U494" i="4"/>
  <c r="Q486" i="4"/>
  <c r="S486" i="4"/>
  <c r="U486" i="4"/>
  <c r="Q478" i="4"/>
  <c r="U478" i="4"/>
  <c r="S478" i="4"/>
  <c r="Q470" i="4"/>
  <c r="S470" i="4"/>
  <c r="U470" i="4"/>
  <c r="Q462" i="4"/>
  <c r="S462" i="4"/>
  <c r="U462" i="4"/>
  <c r="Q454" i="4"/>
  <c r="S454" i="4"/>
  <c r="U454" i="4"/>
  <c r="Q446" i="4"/>
  <c r="U446" i="4"/>
  <c r="S446" i="4"/>
  <c r="Q438" i="4"/>
  <c r="S438" i="4"/>
  <c r="U438" i="4"/>
  <c r="S430" i="4"/>
  <c r="Q430" i="4"/>
  <c r="U430" i="4"/>
  <c r="Q422" i="4"/>
  <c r="S422" i="4"/>
  <c r="U422" i="4"/>
  <c r="Q414" i="4"/>
  <c r="U414" i="4"/>
  <c r="S414" i="4"/>
  <c r="T414" i="4"/>
  <c r="Q406" i="4"/>
  <c r="S406" i="4"/>
  <c r="U406" i="4"/>
  <c r="T406" i="4"/>
  <c r="Q398" i="4"/>
  <c r="S398" i="4"/>
  <c r="U398" i="4"/>
  <c r="T398" i="4"/>
  <c r="Q390" i="4"/>
  <c r="S390" i="4"/>
  <c r="U390" i="4"/>
  <c r="Q382" i="4"/>
  <c r="U382" i="4"/>
  <c r="S382" i="4"/>
  <c r="T382" i="4"/>
  <c r="Q374" i="4"/>
  <c r="S374" i="4"/>
  <c r="U374" i="4"/>
  <c r="T374" i="4"/>
  <c r="Q366" i="4"/>
  <c r="S366" i="4"/>
  <c r="U366" i="4"/>
  <c r="Q358" i="4"/>
  <c r="S358" i="4"/>
  <c r="U358" i="4"/>
  <c r="Q350" i="4"/>
  <c r="U350" i="4"/>
  <c r="S350" i="4"/>
  <c r="T350" i="4"/>
  <c r="Q342" i="4"/>
  <c r="S342" i="4"/>
  <c r="U342" i="4"/>
  <c r="T342" i="4"/>
  <c r="Q334" i="4"/>
  <c r="S334" i="4"/>
  <c r="U334" i="4"/>
  <c r="T334" i="4"/>
  <c r="Q326" i="4"/>
  <c r="U326" i="4"/>
  <c r="S326" i="4"/>
  <c r="Q318" i="4"/>
  <c r="S318" i="4"/>
  <c r="U318" i="4"/>
  <c r="T318" i="4"/>
  <c r="Q310" i="4"/>
  <c r="S310" i="4"/>
  <c r="U310" i="4"/>
  <c r="T310" i="4"/>
  <c r="Q302" i="4"/>
  <c r="U302" i="4"/>
  <c r="S302" i="4"/>
  <c r="Q294" i="4"/>
  <c r="S294" i="4"/>
  <c r="U294" i="4"/>
  <c r="T294" i="4"/>
  <c r="Q286" i="4"/>
  <c r="U286" i="4"/>
  <c r="S286" i="4"/>
  <c r="Q278" i="4"/>
  <c r="S278" i="4"/>
  <c r="U278" i="4"/>
  <c r="T278" i="4"/>
  <c r="Q270" i="4"/>
  <c r="S270" i="4"/>
  <c r="U270" i="4"/>
  <c r="Q262" i="4"/>
  <c r="U262" i="4"/>
  <c r="S262" i="4"/>
  <c r="T262" i="4"/>
  <c r="Q254" i="4"/>
  <c r="S254" i="4"/>
  <c r="U254" i="4"/>
  <c r="Q246" i="4"/>
  <c r="S246" i="4"/>
  <c r="U246" i="4"/>
  <c r="T246" i="4"/>
  <c r="Q238" i="4"/>
  <c r="U238" i="4"/>
  <c r="S238" i="4"/>
  <c r="Q230" i="4"/>
  <c r="S230" i="4"/>
  <c r="U230" i="4"/>
  <c r="T230" i="4"/>
  <c r="Q222" i="4"/>
  <c r="U222" i="4"/>
  <c r="S222" i="4"/>
  <c r="Q214" i="4"/>
  <c r="S214" i="4"/>
  <c r="U214" i="4"/>
  <c r="Q206" i="4"/>
  <c r="S206" i="4"/>
  <c r="U206" i="4"/>
  <c r="T206" i="4"/>
  <c r="Q198" i="4"/>
  <c r="U198" i="4"/>
  <c r="S198" i="4"/>
  <c r="Q190" i="4"/>
  <c r="S190" i="4"/>
  <c r="U190" i="4"/>
  <c r="T190" i="4"/>
  <c r="Q182" i="4"/>
  <c r="S182" i="4"/>
  <c r="U182" i="4"/>
  <c r="T182" i="4"/>
  <c r="Q174" i="4"/>
  <c r="U174" i="4"/>
  <c r="S174" i="4"/>
  <c r="T174" i="4"/>
  <c r="Q166" i="4"/>
  <c r="S166" i="4"/>
  <c r="U166" i="4"/>
  <c r="Q158" i="4"/>
  <c r="U158" i="4"/>
  <c r="S158" i="4"/>
  <c r="T158" i="4"/>
  <c r="Q150" i="4"/>
  <c r="U150" i="4"/>
  <c r="S150" i="4"/>
  <c r="T150" i="4"/>
  <c r="Q142" i="4"/>
  <c r="S142" i="4"/>
  <c r="U142" i="4"/>
  <c r="T142" i="4"/>
  <c r="Q134" i="4"/>
  <c r="U134" i="4"/>
  <c r="T134" i="4"/>
  <c r="Q126" i="4"/>
  <c r="S126" i="4"/>
  <c r="U126" i="4"/>
  <c r="Q118" i="4"/>
  <c r="S118" i="4"/>
  <c r="U118" i="4"/>
  <c r="T118" i="4"/>
  <c r="Q110" i="4"/>
  <c r="U110" i="4"/>
  <c r="S110" i="4"/>
  <c r="T110" i="4"/>
  <c r="Q102" i="4"/>
  <c r="S102" i="4"/>
  <c r="U102" i="4"/>
  <c r="Q94" i="4"/>
  <c r="U94" i="4"/>
  <c r="S94" i="4"/>
  <c r="T94" i="4"/>
  <c r="Q86" i="4"/>
  <c r="U86" i="4"/>
  <c r="S86" i="4"/>
  <c r="T86" i="4"/>
  <c r="Q78" i="4"/>
  <c r="S78" i="4"/>
  <c r="U78" i="4"/>
  <c r="T78" i="4"/>
  <c r="Q70" i="4"/>
  <c r="U70" i="4"/>
  <c r="S70" i="4"/>
  <c r="T70" i="4"/>
  <c r="Q62" i="4"/>
  <c r="S62" i="4"/>
  <c r="U62" i="4"/>
  <c r="T62" i="4"/>
  <c r="Q54" i="4"/>
  <c r="S54" i="4"/>
  <c r="U54" i="4"/>
  <c r="T54" i="4"/>
  <c r="Q46" i="4"/>
  <c r="U46" i="4"/>
  <c r="S46" i="4"/>
  <c r="T46" i="4"/>
  <c r="Q38" i="4"/>
  <c r="S38" i="4"/>
  <c r="U38" i="4"/>
  <c r="T38" i="4"/>
  <c r="Q30" i="4"/>
  <c r="S30" i="4"/>
  <c r="U30" i="4"/>
  <c r="T790" i="4"/>
  <c r="T726" i="4"/>
  <c r="T662" i="4"/>
  <c r="T598" i="4"/>
  <c r="T534" i="4"/>
  <c r="T470" i="4"/>
  <c r="T222" i="4"/>
  <c r="T102" i="4"/>
  <c r="U799" i="4"/>
  <c r="Q1111" i="4"/>
  <c r="S1111" i="4"/>
  <c r="U1111" i="4"/>
  <c r="T1111" i="4"/>
  <c r="S1079" i="4"/>
  <c r="Q1079" i="4"/>
  <c r="U1079" i="4"/>
  <c r="T1079" i="4"/>
  <c r="S1031" i="4"/>
  <c r="Q1031" i="4"/>
  <c r="U1031" i="4"/>
  <c r="T1031" i="4"/>
  <c r="Q991" i="4"/>
  <c r="S991" i="4"/>
  <c r="T991" i="4"/>
  <c r="U991" i="4"/>
  <c r="Q935" i="4"/>
  <c r="S935" i="4"/>
  <c r="U935" i="4"/>
  <c r="T935" i="4"/>
  <c r="Q887" i="4"/>
  <c r="S887" i="4"/>
  <c r="U887" i="4"/>
  <c r="T887" i="4"/>
  <c r="Q847" i="4"/>
  <c r="S847" i="4"/>
  <c r="U847" i="4"/>
  <c r="T847" i="4"/>
  <c r="Q743" i="4"/>
  <c r="S743" i="4"/>
  <c r="T743" i="4"/>
  <c r="U743" i="4"/>
  <c r="Q687" i="4"/>
  <c r="S687" i="4"/>
  <c r="U687" i="4"/>
  <c r="T687" i="4"/>
  <c r="Q615" i="4"/>
  <c r="S615" i="4"/>
  <c r="U615" i="4"/>
  <c r="T615" i="4"/>
  <c r="Q575" i="4"/>
  <c r="S575" i="4"/>
  <c r="T575" i="4"/>
  <c r="Q519" i="4"/>
  <c r="U519" i="4"/>
  <c r="T519" i="4"/>
  <c r="S519" i="4"/>
  <c r="Q455" i="4"/>
  <c r="S455" i="4"/>
  <c r="U455" i="4"/>
  <c r="T455" i="4"/>
  <c r="Q1102" i="4"/>
  <c r="S1102" i="4"/>
  <c r="U1102" i="4"/>
  <c r="Q1046" i="4"/>
  <c r="S1046" i="4"/>
  <c r="U1046" i="4"/>
  <c r="S966" i="4"/>
  <c r="Q966" i="4"/>
  <c r="U966" i="4"/>
  <c r="Q878" i="4"/>
  <c r="S878" i="4"/>
  <c r="U878" i="4"/>
  <c r="Q542" i="4"/>
  <c r="S542" i="4"/>
  <c r="U542" i="4"/>
  <c r="Q1149" i="4"/>
  <c r="S1149" i="4"/>
  <c r="U1149" i="4"/>
  <c r="Q1141" i="4"/>
  <c r="U1141" i="4"/>
  <c r="Q1133" i="4"/>
  <c r="S1133" i="4"/>
  <c r="U1133" i="4"/>
  <c r="Q1125" i="4"/>
  <c r="S1125" i="4"/>
  <c r="U1125" i="4"/>
  <c r="Q1117" i="4"/>
  <c r="S1117" i="4"/>
  <c r="U1117" i="4"/>
  <c r="Q1109" i="4"/>
  <c r="U1109" i="4"/>
  <c r="S1109" i="4"/>
  <c r="Q1101" i="4"/>
  <c r="S1101" i="4"/>
  <c r="U1101" i="4"/>
  <c r="Q1093" i="4"/>
  <c r="S1093" i="4"/>
  <c r="U1093" i="4"/>
  <c r="Q1085" i="4"/>
  <c r="S1085" i="4"/>
  <c r="U1085" i="4"/>
  <c r="Q1077" i="4"/>
  <c r="U1077" i="4"/>
  <c r="Q1069" i="4"/>
  <c r="S1069" i="4"/>
  <c r="U1069" i="4"/>
  <c r="Q1061" i="4"/>
  <c r="S1061" i="4"/>
  <c r="U1061" i="4"/>
  <c r="Q1053" i="4"/>
  <c r="S1053" i="4"/>
  <c r="U1053" i="4"/>
  <c r="Q1045" i="4"/>
  <c r="S1045" i="4"/>
  <c r="U1045" i="4"/>
  <c r="Q1037" i="4"/>
  <c r="S1037" i="4"/>
  <c r="U1037" i="4"/>
  <c r="Q1029" i="4"/>
  <c r="S1029" i="4"/>
  <c r="U1029" i="4"/>
  <c r="Q1021" i="4"/>
  <c r="U1021" i="4"/>
  <c r="S1021" i="4"/>
  <c r="Q1013" i="4"/>
  <c r="S1013" i="4"/>
  <c r="U1013" i="4"/>
  <c r="Q1005" i="4"/>
  <c r="S1005" i="4"/>
  <c r="U1005" i="4"/>
  <c r="Q997" i="4"/>
  <c r="S997" i="4"/>
  <c r="U997" i="4"/>
  <c r="Q989" i="4"/>
  <c r="U989" i="4"/>
  <c r="S989" i="4"/>
  <c r="Q981" i="4"/>
  <c r="S981" i="4"/>
  <c r="U981" i="4"/>
  <c r="Q973" i="4"/>
  <c r="S973" i="4"/>
  <c r="U973" i="4"/>
  <c r="Q965" i="4"/>
  <c r="S965" i="4"/>
  <c r="U965" i="4"/>
  <c r="Q957" i="4"/>
  <c r="U957" i="4"/>
  <c r="S957" i="4"/>
  <c r="Q949" i="4"/>
  <c r="S949" i="4"/>
  <c r="U949" i="4"/>
  <c r="Q941" i="4"/>
  <c r="S941" i="4"/>
  <c r="U941" i="4"/>
  <c r="Q933" i="4"/>
  <c r="S933" i="4"/>
  <c r="U933" i="4"/>
  <c r="Q925" i="4"/>
  <c r="S925" i="4"/>
  <c r="Q917" i="4"/>
  <c r="U917" i="4"/>
  <c r="S917" i="4"/>
  <c r="Q909" i="4"/>
  <c r="S909" i="4"/>
  <c r="U909" i="4"/>
  <c r="Q901" i="4"/>
  <c r="S901" i="4"/>
  <c r="U901" i="4"/>
  <c r="Q893" i="4"/>
  <c r="S893" i="4"/>
  <c r="U893" i="4"/>
  <c r="Q885" i="4"/>
  <c r="S885" i="4"/>
  <c r="U885" i="4"/>
  <c r="Q877" i="4"/>
  <c r="S877" i="4"/>
  <c r="U877" i="4"/>
  <c r="Q869" i="4"/>
  <c r="S869" i="4"/>
  <c r="U869" i="4"/>
  <c r="Q861" i="4"/>
  <c r="S861" i="4"/>
  <c r="U861" i="4"/>
  <c r="Q853" i="4"/>
  <c r="U853" i="4"/>
  <c r="Q845" i="4"/>
  <c r="S845" i="4"/>
  <c r="U845" i="4"/>
  <c r="Q837" i="4"/>
  <c r="S837" i="4"/>
  <c r="U837" i="4"/>
  <c r="Q829" i="4"/>
  <c r="S829" i="4"/>
  <c r="U829" i="4"/>
  <c r="Q821" i="4"/>
  <c r="S821" i="4"/>
  <c r="U821" i="4"/>
  <c r="Q813" i="4"/>
  <c r="S813" i="4"/>
  <c r="U813" i="4"/>
  <c r="Q805" i="4"/>
  <c r="S805" i="4"/>
  <c r="U805" i="4"/>
  <c r="Q797" i="4"/>
  <c r="S797" i="4"/>
  <c r="U797" i="4"/>
  <c r="S789" i="4"/>
  <c r="Q789" i="4"/>
  <c r="U789" i="4"/>
  <c r="Q781" i="4"/>
  <c r="S781" i="4"/>
  <c r="U781" i="4"/>
  <c r="Q773" i="4"/>
  <c r="S773" i="4"/>
  <c r="U773" i="4"/>
  <c r="Q765" i="4"/>
  <c r="S765" i="4"/>
  <c r="U765" i="4"/>
  <c r="Q757" i="4"/>
  <c r="S757" i="4"/>
  <c r="U757" i="4"/>
  <c r="Q749" i="4"/>
  <c r="S749" i="4"/>
  <c r="U749" i="4"/>
  <c r="Q741" i="4"/>
  <c r="S741" i="4"/>
  <c r="U741" i="4"/>
  <c r="Q733" i="4"/>
  <c r="S733" i="4"/>
  <c r="U733" i="4"/>
  <c r="Q725" i="4"/>
  <c r="S725" i="4"/>
  <c r="U725" i="4"/>
  <c r="Q717" i="4"/>
  <c r="S717" i="4"/>
  <c r="U717" i="4"/>
  <c r="Q709" i="4"/>
  <c r="S709" i="4"/>
  <c r="U709" i="4"/>
  <c r="Q701" i="4"/>
  <c r="S701" i="4"/>
  <c r="U701" i="4"/>
  <c r="Q693" i="4"/>
  <c r="S693" i="4"/>
  <c r="U693" i="4"/>
  <c r="Q685" i="4"/>
  <c r="S685" i="4"/>
  <c r="U685" i="4"/>
  <c r="Q677" i="4"/>
  <c r="S677" i="4"/>
  <c r="U677" i="4"/>
  <c r="Q669" i="4"/>
  <c r="S669" i="4"/>
  <c r="U669" i="4"/>
  <c r="Q661" i="4"/>
  <c r="S661" i="4"/>
  <c r="U661" i="4"/>
  <c r="Q653" i="4"/>
  <c r="S653" i="4"/>
  <c r="U653" i="4"/>
  <c r="Q645" i="4"/>
  <c r="S645" i="4"/>
  <c r="U645" i="4"/>
  <c r="T1109" i="4"/>
  <c r="T1045" i="4"/>
  <c r="T981" i="4"/>
  <c r="T938" i="4"/>
  <c r="T917" i="4"/>
  <c r="T894" i="4"/>
  <c r="T853" i="4"/>
  <c r="T789" i="4"/>
  <c r="T766" i="4"/>
  <c r="T746" i="4"/>
  <c r="T725" i="4"/>
  <c r="T702" i="4"/>
  <c r="T661" i="4"/>
  <c r="T638" i="4"/>
  <c r="T574" i="4"/>
  <c r="T510" i="4"/>
  <c r="T446" i="4"/>
  <c r="T302" i="4"/>
  <c r="T166" i="4"/>
  <c r="Q943" i="4"/>
  <c r="S943" i="4"/>
  <c r="T943" i="4"/>
  <c r="Q839" i="4"/>
  <c r="S839" i="4"/>
  <c r="U839" i="4"/>
  <c r="T839" i="4"/>
  <c r="S735" i="4"/>
  <c r="Q735" i="4"/>
  <c r="U735" i="4"/>
  <c r="T735" i="4"/>
  <c r="Q663" i="4"/>
  <c r="S663" i="4"/>
  <c r="U663" i="4"/>
  <c r="T663" i="4"/>
  <c r="Q591" i="4"/>
  <c r="S591" i="4"/>
  <c r="U591" i="4"/>
  <c r="T591" i="4"/>
  <c r="Q527" i="4"/>
  <c r="S527" i="4"/>
  <c r="U527" i="4"/>
  <c r="T527" i="4"/>
  <c r="Q479" i="4"/>
  <c r="S479" i="4"/>
  <c r="T479" i="4"/>
  <c r="Q415" i="4"/>
  <c r="S415" i="4"/>
  <c r="U415" i="4"/>
  <c r="T415" i="4"/>
  <c r="Q1150" i="4"/>
  <c r="S1150" i="4"/>
  <c r="U1150" i="4"/>
  <c r="Q1086" i="4"/>
  <c r="S1086" i="4"/>
  <c r="U1086" i="4"/>
  <c r="S1006" i="4"/>
  <c r="Q1006" i="4"/>
  <c r="Q958" i="4"/>
  <c r="S958" i="4"/>
  <c r="U958" i="4"/>
  <c r="Q910" i="4"/>
  <c r="S910" i="4"/>
  <c r="U910" i="4"/>
  <c r="Q886" i="4"/>
  <c r="S886" i="4"/>
  <c r="U886" i="4"/>
  <c r="S830" i="4"/>
  <c r="U830" i="4"/>
  <c r="Q830" i="4"/>
  <c r="Q798" i="4"/>
  <c r="S798" i="4"/>
  <c r="U798" i="4"/>
  <c r="Q550" i="4"/>
  <c r="S550" i="4"/>
  <c r="U550" i="4"/>
  <c r="Q1148" i="4"/>
  <c r="S1148" i="4"/>
  <c r="U1148" i="4"/>
  <c r="T1148" i="4"/>
  <c r="Q1140" i="4"/>
  <c r="U1140" i="4"/>
  <c r="S1140" i="4"/>
  <c r="T1140" i="4"/>
  <c r="Q1132" i="4"/>
  <c r="S1132" i="4"/>
  <c r="U1132" i="4"/>
  <c r="T1132" i="4"/>
  <c r="Q1124" i="4"/>
  <c r="U1124" i="4"/>
  <c r="S1124" i="4"/>
  <c r="T1124" i="4"/>
  <c r="Q1116" i="4"/>
  <c r="S1116" i="4"/>
  <c r="U1116" i="4"/>
  <c r="T1116" i="4"/>
  <c r="Q1108" i="4"/>
  <c r="U1108" i="4"/>
  <c r="S1108" i="4"/>
  <c r="T1108" i="4"/>
  <c r="Q1100" i="4"/>
  <c r="S1100" i="4"/>
  <c r="U1100" i="4"/>
  <c r="T1100" i="4"/>
  <c r="Q1092" i="4"/>
  <c r="U1092" i="4"/>
  <c r="S1092" i="4"/>
  <c r="T1092" i="4"/>
  <c r="Q1084" i="4"/>
  <c r="S1084" i="4"/>
  <c r="U1084" i="4"/>
  <c r="T1084" i="4"/>
  <c r="Q1076" i="4"/>
  <c r="U1076" i="4"/>
  <c r="S1076" i="4"/>
  <c r="T1076" i="4"/>
  <c r="Q1068" i="4"/>
  <c r="U1068" i="4"/>
  <c r="S1068" i="4"/>
  <c r="T1068" i="4"/>
  <c r="Q1060" i="4"/>
  <c r="U1060" i="4"/>
  <c r="S1060" i="4"/>
  <c r="T1060" i="4"/>
  <c r="Q1052" i="4"/>
  <c r="S1052" i="4"/>
  <c r="U1052" i="4"/>
  <c r="T1052" i="4"/>
  <c r="Q1044" i="4"/>
  <c r="U1044" i="4"/>
  <c r="T1044" i="4"/>
  <c r="Q1036" i="4"/>
  <c r="U1036" i="4"/>
  <c r="S1036" i="4"/>
  <c r="T1036" i="4"/>
  <c r="Q1028" i="4"/>
  <c r="S1028" i="4"/>
  <c r="U1028" i="4"/>
  <c r="T1028" i="4"/>
  <c r="Q1020" i="4"/>
  <c r="S1020" i="4"/>
  <c r="U1020" i="4"/>
  <c r="T1020" i="4"/>
  <c r="Q1012" i="4"/>
  <c r="S1012" i="4"/>
  <c r="U1012" i="4"/>
  <c r="T1012" i="4"/>
  <c r="Q1004" i="4"/>
  <c r="U1004" i="4"/>
  <c r="T1004" i="4"/>
  <c r="Q996" i="4"/>
  <c r="S996" i="4"/>
  <c r="U996" i="4"/>
  <c r="T996" i="4"/>
  <c r="Q988" i="4"/>
  <c r="S988" i="4"/>
  <c r="U988" i="4"/>
  <c r="T988" i="4"/>
  <c r="Q980" i="4"/>
  <c r="S980" i="4"/>
  <c r="U980" i="4"/>
  <c r="T980" i="4"/>
  <c r="Q972" i="4"/>
  <c r="U972" i="4"/>
  <c r="S972" i="4"/>
  <c r="T972" i="4"/>
  <c r="Q964" i="4"/>
  <c r="S964" i="4"/>
  <c r="U964" i="4"/>
  <c r="T964" i="4"/>
  <c r="Q956" i="4"/>
  <c r="S956" i="4"/>
  <c r="U956" i="4"/>
  <c r="T956" i="4"/>
  <c r="Q948" i="4"/>
  <c r="S948" i="4"/>
  <c r="U948" i="4"/>
  <c r="T948" i="4"/>
  <c r="Q940" i="4"/>
  <c r="U940" i="4"/>
  <c r="S940" i="4"/>
  <c r="T940" i="4"/>
  <c r="Q932" i="4"/>
  <c r="S932" i="4"/>
  <c r="U932" i="4"/>
  <c r="T932" i="4"/>
  <c r="Q924" i="4"/>
  <c r="S924" i="4"/>
  <c r="U924" i="4"/>
  <c r="T924" i="4"/>
  <c r="Q916" i="4"/>
  <c r="S916" i="4"/>
  <c r="U916" i="4"/>
  <c r="T916" i="4"/>
  <c r="Q908" i="4"/>
  <c r="S908" i="4"/>
  <c r="U908" i="4"/>
  <c r="T908" i="4"/>
  <c r="Q900" i="4"/>
  <c r="S900" i="4"/>
  <c r="U900" i="4"/>
  <c r="T900" i="4"/>
  <c r="Q892" i="4"/>
  <c r="S892" i="4"/>
  <c r="T892" i="4"/>
  <c r="Q884" i="4"/>
  <c r="S884" i="4"/>
  <c r="U884" i="4"/>
  <c r="T884" i="4"/>
  <c r="Q876" i="4"/>
  <c r="U876" i="4"/>
  <c r="S876" i="4"/>
  <c r="T876" i="4"/>
  <c r="Q868" i="4"/>
  <c r="S868" i="4"/>
  <c r="U868" i="4"/>
  <c r="T868" i="4"/>
  <c r="Q860" i="4"/>
  <c r="U860" i="4"/>
  <c r="S860" i="4"/>
  <c r="T860" i="4"/>
  <c r="Q852" i="4"/>
  <c r="S852" i="4"/>
  <c r="T852" i="4"/>
  <c r="Q844" i="4"/>
  <c r="S844" i="4"/>
  <c r="U844" i="4"/>
  <c r="T844" i="4"/>
  <c r="Q836" i="4"/>
  <c r="U836" i="4"/>
  <c r="S836" i="4"/>
  <c r="T836" i="4"/>
  <c r="Q828" i="4"/>
  <c r="S828" i="4"/>
  <c r="U828" i="4"/>
  <c r="T828" i="4"/>
  <c r="S820" i="4"/>
  <c r="Q820" i="4"/>
  <c r="U820" i="4"/>
  <c r="T820" i="4"/>
  <c r="Q812" i="4"/>
  <c r="S812" i="4"/>
  <c r="U812" i="4"/>
  <c r="T812" i="4"/>
  <c r="Q804" i="4"/>
  <c r="S804" i="4"/>
  <c r="U804" i="4"/>
  <c r="T804" i="4"/>
  <c r="Q796" i="4"/>
  <c r="S796" i="4"/>
  <c r="U796" i="4"/>
  <c r="T796" i="4"/>
  <c r="Q788" i="4"/>
  <c r="S788" i="4"/>
  <c r="U788" i="4"/>
  <c r="T788" i="4"/>
  <c r="Q780" i="4"/>
  <c r="S780" i="4"/>
  <c r="U780" i="4"/>
  <c r="T780" i="4"/>
  <c r="Q772" i="4"/>
  <c r="S772" i="4"/>
  <c r="U772" i="4"/>
  <c r="T772" i="4"/>
  <c r="Q764" i="4"/>
  <c r="S764" i="4"/>
  <c r="T764" i="4"/>
  <c r="Q756" i="4"/>
  <c r="S756" i="4"/>
  <c r="U756" i="4"/>
  <c r="T756" i="4"/>
  <c r="Q748" i="4"/>
  <c r="S748" i="4"/>
  <c r="U748" i="4"/>
  <c r="T748" i="4"/>
  <c r="Q740" i="4"/>
  <c r="S740" i="4"/>
  <c r="U740" i="4"/>
  <c r="T740" i="4"/>
  <c r="Q732" i="4"/>
  <c r="S732" i="4"/>
  <c r="U732" i="4"/>
  <c r="T732" i="4"/>
  <c r="Q724" i="4"/>
  <c r="S724" i="4"/>
  <c r="U724" i="4"/>
  <c r="T724" i="4"/>
  <c r="Q716" i="4"/>
  <c r="S716" i="4"/>
  <c r="U716" i="4"/>
  <c r="T716" i="4"/>
  <c r="Q708" i="4"/>
  <c r="S708" i="4"/>
  <c r="U708" i="4"/>
  <c r="T708" i="4"/>
  <c r="Q700" i="4"/>
  <c r="S700" i="4"/>
  <c r="U700" i="4"/>
  <c r="T700" i="4"/>
  <c r="Q692" i="4"/>
  <c r="S692" i="4"/>
  <c r="U692" i="4"/>
  <c r="T692" i="4"/>
  <c r="Q684" i="4"/>
  <c r="S684" i="4"/>
  <c r="U684" i="4"/>
  <c r="T684" i="4"/>
  <c r="S676" i="4"/>
  <c r="U676" i="4"/>
  <c r="Q676" i="4"/>
  <c r="T676" i="4"/>
  <c r="Q668" i="4"/>
  <c r="S668" i="4"/>
  <c r="U668" i="4"/>
  <c r="T668" i="4"/>
  <c r="Q660" i="4"/>
  <c r="S660" i="4"/>
  <c r="T660" i="4"/>
  <c r="Q652" i="4"/>
  <c r="S652" i="4"/>
  <c r="U652" i="4"/>
  <c r="T652" i="4"/>
  <c r="Q644" i="4"/>
  <c r="S644" i="4"/>
  <c r="U644" i="4"/>
  <c r="T644" i="4"/>
  <c r="Q636" i="4"/>
  <c r="S636" i="4"/>
  <c r="T636" i="4"/>
  <c r="T1149" i="4"/>
  <c r="T1085" i="4"/>
  <c r="T1021" i="4"/>
  <c r="T957" i="4"/>
  <c r="T934" i="4"/>
  <c r="T893" i="4"/>
  <c r="T829" i="4"/>
  <c r="T806" i="4"/>
  <c r="T765" i="4"/>
  <c r="T742" i="4"/>
  <c r="T701" i="4"/>
  <c r="T678" i="4"/>
  <c r="T614" i="4"/>
  <c r="T550" i="4"/>
  <c r="T486" i="4"/>
  <c r="T422" i="4"/>
  <c r="T326" i="4"/>
  <c r="T270" i="4"/>
  <c r="T214" i="4"/>
  <c r="U1134" i="4"/>
  <c r="U1007" i="4"/>
  <c r="U892" i="4"/>
  <c r="U764" i="4"/>
  <c r="S134" i="4"/>
  <c r="Q1127" i="4"/>
  <c r="S1127" i="4"/>
  <c r="U1127" i="4"/>
  <c r="T1127" i="4"/>
  <c r="Q1071" i="4"/>
  <c r="S1071" i="4"/>
  <c r="T1071" i="4"/>
  <c r="Q1023" i="4"/>
  <c r="S1023" i="4"/>
  <c r="T1023" i="4"/>
  <c r="U1023" i="4"/>
  <c r="Q975" i="4"/>
  <c r="S975" i="4"/>
  <c r="T975" i="4"/>
  <c r="U975" i="4"/>
  <c r="Q919" i="4"/>
  <c r="S919" i="4"/>
  <c r="U919" i="4"/>
  <c r="T919" i="4"/>
  <c r="S863" i="4"/>
  <c r="U863" i="4"/>
  <c r="Q863" i="4"/>
  <c r="T863" i="4"/>
  <c r="Q815" i="4"/>
  <c r="S815" i="4"/>
  <c r="U815" i="4"/>
  <c r="T815" i="4"/>
  <c r="Q775" i="4"/>
  <c r="S775" i="4"/>
  <c r="U775" i="4"/>
  <c r="T775" i="4"/>
  <c r="Q719" i="4"/>
  <c r="S719" i="4"/>
  <c r="U719" i="4"/>
  <c r="T719" i="4"/>
  <c r="Q671" i="4"/>
  <c r="S671" i="4"/>
  <c r="U671" i="4"/>
  <c r="T671" i="4"/>
  <c r="Q647" i="4"/>
  <c r="S647" i="4"/>
  <c r="U647" i="4"/>
  <c r="T647" i="4"/>
  <c r="Q599" i="4"/>
  <c r="S599" i="4"/>
  <c r="U599" i="4"/>
  <c r="T599" i="4"/>
  <c r="Q551" i="4"/>
  <c r="S551" i="4"/>
  <c r="T551" i="4"/>
  <c r="Q503" i="4"/>
  <c r="S503" i="4"/>
  <c r="U503" i="4"/>
  <c r="T503" i="4"/>
  <c r="S431" i="4"/>
  <c r="Q431" i="4"/>
  <c r="T431" i="4"/>
  <c r="U431" i="4"/>
  <c r="Q1110" i="4"/>
  <c r="S1110" i="4"/>
  <c r="U1110" i="4"/>
  <c r="Q1054" i="4"/>
  <c r="S1054" i="4"/>
  <c r="Q998" i="4"/>
  <c r="S998" i="4"/>
  <c r="U998" i="4"/>
  <c r="S926" i="4"/>
  <c r="Q926" i="4"/>
  <c r="U926" i="4"/>
  <c r="Q870" i="4"/>
  <c r="S870" i="4"/>
  <c r="U870" i="4"/>
  <c r="Q558" i="4"/>
  <c r="S558" i="4"/>
  <c r="U558" i="4"/>
  <c r="Q1147" i="4"/>
  <c r="S1147" i="4"/>
  <c r="U1147" i="4"/>
  <c r="T1147" i="4"/>
  <c r="Q1139" i="4"/>
  <c r="U1139" i="4"/>
  <c r="S1139" i="4"/>
  <c r="T1139" i="4"/>
  <c r="Q1131" i="4"/>
  <c r="S1131" i="4"/>
  <c r="U1131" i="4"/>
  <c r="T1131" i="4"/>
  <c r="Q1123" i="4"/>
  <c r="S1123" i="4"/>
  <c r="U1123" i="4"/>
  <c r="T1123" i="4"/>
  <c r="Q1115" i="4"/>
  <c r="S1115" i="4"/>
  <c r="U1115" i="4"/>
  <c r="T1115" i="4"/>
  <c r="Q1107" i="4"/>
  <c r="U1107" i="4"/>
  <c r="T1107" i="4"/>
  <c r="Q1099" i="4"/>
  <c r="S1099" i="4"/>
  <c r="U1099" i="4"/>
  <c r="T1099" i="4"/>
  <c r="Q1091" i="4"/>
  <c r="S1091" i="4"/>
  <c r="U1091" i="4"/>
  <c r="T1091" i="4"/>
  <c r="Q1083" i="4"/>
  <c r="S1083" i="4"/>
  <c r="U1083" i="4"/>
  <c r="T1083" i="4"/>
  <c r="Q1075" i="4"/>
  <c r="U1075" i="4"/>
  <c r="T1075" i="4"/>
  <c r="S1075" i="4"/>
  <c r="Q1067" i="4"/>
  <c r="U1067" i="4"/>
  <c r="S1067" i="4"/>
  <c r="T1067" i="4"/>
  <c r="Q1059" i="4"/>
  <c r="S1059" i="4"/>
  <c r="U1059" i="4"/>
  <c r="T1059" i="4"/>
  <c r="Q1051" i="4"/>
  <c r="S1051" i="4"/>
  <c r="U1051" i="4"/>
  <c r="T1051" i="4"/>
  <c r="Q1043" i="4"/>
  <c r="U1043" i="4"/>
  <c r="S1043" i="4"/>
  <c r="T1043" i="4"/>
  <c r="Q1035" i="4"/>
  <c r="U1035" i="4"/>
  <c r="S1035" i="4"/>
  <c r="T1035" i="4"/>
  <c r="Q1027" i="4"/>
  <c r="S1027" i="4"/>
  <c r="U1027" i="4"/>
  <c r="T1027" i="4"/>
  <c r="Q1019" i="4"/>
  <c r="S1019" i="4"/>
  <c r="U1019" i="4"/>
  <c r="T1019" i="4"/>
  <c r="Q1011" i="4"/>
  <c r="U1011" i="4"/>
  <c r="S1011" i="4"/>
  <c r="T1011" i="4"/>
  <c r="Q1003" i="4"/>
  <c r="U1003" i="4"/>
  <c r="T1003" i="4"/>
  <c r="Q995" i="4"/>
  <c r="S995" i="4"/>
  <c r="U995" i="4"/>
  <c r="T995" i="4"/>
  <c r="Q987" i="4"/>
  <c r="S987" i="4"/>
  <c r="U987" i="4"/>
  <c r="T987" i="4"/>
  <c r="Q979" i="4"/>
  <c r="S979" i="4"/>
  <c r="U979" i="4"/>
  <c r="T979" i="4"/>
  <c r="Q971" i="4"/>
  <c r="U971" i="4"/>
  <c r="T971" i="4"/>
  <c r="S971" i="4"/>
  <c r="Q963" i="4"/>
  <c r="S963" i="4"/>
  <c r="U963" i="4"/>
  <c r="T963" i="4"/>
  <c r="Q955" i="4"/>
  <c r="S955" i="4"/>
  <c r="U955" i="4"/>
  <c r="T955" i="4"/>
  <c r="Q947" i="4"/>
  <c r="S947" i="4"/>
  <c r="U947" i="4"/>
  <c r="T947" i="4"/>
  <c r="Q939" i="4"/>
  <c r="U939" i="4"/>
  <c r="S939" i="4"/>
  <c r="T939" i="4"/>
  <c r="Q931" i="4"/>
  <c r="U931" i="4"/>
  <c r="S931" i="4"/>
  <c r="T931" i="4"/>
  <c r="Q923" i="4"/>
  <c r="U923" i="4"/>
  <c r="S923" i="4"/>
  <c r="T923" i="4"/>
  <c r="Q915" i="4"/>
  <c r="U915" i="4"/>
  <c r="S915" i="4"/>
  <c r="T915" i="4"/>
  <c r="Q907" i="4"/>
  <c r="S907" i="4"/>
  <c r="U907" i="4"/>
  <c r="T907" i="4"/>
  <c r="Q899" i="4"/>
  <c r="S899" i="4"/>
  <c r="U899" i="4"/>
  <c r="T899" i="4"/>
  <c r="Q891" i="4"/>
  <c r="S891" i="4"/>
  <c r="U891" i="4"/>
  <c r="T891" i="4"/>
  <c r="Q883" i="4"/>
  <c r="S883" i="4"/>
  <c r="U883" i="4"/>
  <c r="T883" i="4"/>
  <c r="Q875" i="4"/>
  <c r="U875" i="4"/>
  <c r="S875" i="4"/>
  <c r="T875" i="4"/>
  <c r="Q867" i="4"/>
  <c r="U867" i="4"/>
  <c r="S867" i="4"/>
  <c r="T867" i="4"/>
  <c r="Q859" i="4"/>
  <c r="U859" i="4"/>
  <c r="S859" i="4"/>
  <c r="T859" i="4"/>
  <c r="Q851" i="4"/>
  <c r="U851" i="4"/>
  <c r="T851" i="4"/>
  <c r="Q843" i="4"/>
  <c r="S843" i="4"/>
  <c r="U843" i="4"/>
  <c r="T843" i="4"/>
  <c r="Q835" i="4"/>
  <c r="S835" i="4"/>
  <c r="U835" i="4"/>
  <c r="T835" i="4"/>
  <c r="Q827" i="4"/>
  <c r="S827" i="4"/>
  <c r="U827" i="4"/>
  <c r="T827" i="4"/>
  <c r="Q819" i="4"/>
  <c r="S819" i="4"/>
  <c r="T819" i="4"/>
  <c r="Q811" i="4"/>
  <c r="U811" i="4"/>
  <c r="S811" i="4"/>
  <c r="T811" i="4"/>
  <c r="Q803" i="4"/>
  <c r="U803" i="4"/>
  <c r="S803" i="4"/>
  <c r="T803" i="4"/>
  <c r="Q795" i="4"/>
  <c r="U795" i="4"/>
  <c r="S795" i="4"/>
  <c r="T795" i="4"/>
  <c r="Q787" i="4"/>
  <c r="S787" i="4"/>
  <c r="U787" i="4"/>
  <c r="T787" i="4"/>
  <c r="Q779" i="4"/>
  <c r="S779" i="4"/>
  <c r="T779" i="4"/>
  <c r="Q771" i="4"/>
  <c r="U771" i="4"/>
  <c r="S771" i="4"/>
  <c r="T771" i="4"/>
  <c r="Q763" i="4"/>
  <c r="S763" i="4"/>
  <c r="U763" i="4"/>
  <c r="T763" i="4"/>
  <c r="Q755" i="4"/>
  <c r="S755" i="4"/>
  <c r="U755" i="4"/>
  <c r="T755" i="4"/>
  <c r="Q747" i="4"/>
  <c r="S747" i="4"/>
  <c r="U747" i="4"/>
  <c r="T747" i="4"/>
  <c r="Q739" i="4"/>
  <c r="U739" i="4"/>
  <c r="S739" i="4"/>
  <c r="T739" i="4"/>
  <c r="Q731" i="4"/>
  <c r="U731" i="4"/>
  <c r="T731" i="4"/>
  <c r="Q723" i="4"/>
  <c r="S723" i="4"/>
  <c r="U723" i="4"/>
  <c r="T723" i="4"/>
  <c r="Q715" i="4"/>
  <c r="S715" i="4"/>
  <c r="U715" i="4"/>
  <c r="T715" i="4"/>
  <c r="Q707" i="4"/>
  <c r="U707" i="4"/>
  <c r="S707" i="4"/>
  <c r="T707" i="4"/>
  <c r="Q699" i="4"/>
  <c r="S699" i="4"/>
  <c r="T699" i="4"/>
  <c r="Q691" i="4"/>
  <c r="S691" i="4"/>
  <c r="U691" i="4"/>
  <c r="T691" i="4"/>
  <c r="Q683" i="4"/>
  <c r="U683" i="4"/>
  <c r="S683" i="4"/>
  <c r="T683" i="4"/>
  <c r="Q675" i="4"/>
  <c r="S675" i="4"/>
  <c r="U675" i="4"/>
  <c r="T675" i="4"/>
  <c r="Q667" i="4"/>
  <c r="S667" i="4"/>
  <c r="U667" i="4"/>
  <c r="T667" i="4"/>
  <c r="Q659" i="4"/>
  <c r="S659" i="4"/>
  <c r="U659" i="4"/>
  <c r="T659" i="4"/>
  <c r="T1125" i="4"/>
  <c r="T1102" i="4"/>
  <c r="T1061" i="4"/>
  <c r="T1038" i="4"/>
  <c r="T997" i="4"/>
  <c r="T933" i="4"/>
  <c r="T910" i="4"/>
  <c r="T869" i="4"/>
  <c r="T805" i="4"/>
  <c r="T741" i="4"/>
  <c r="T718" i="4"/>
  <c r="T677" i="4"/>
  <c r="T654" i="4"/>
  <c r="T526" i="4"/>
  <c r="T462" i="4"/>
  <c r="U1118" i="4"/>
  <c r="U1006" i="4"/>
  <c r="S853" i="4"/>
  <c r="Q1151" i="4"/>
  <c r="S1151" i="4"/>
  <c r="T1151" i="4"/>
  <c r="U1151" i="4"/>
  <c r="Q1119" i="4"/>
  <c r="S1119" i="4"/>
  <c r="T1119" i="4"/>
  <c r="U1119" i="4"/>
  <c r="Q1087" i="4"/>
  <c r="S1087" i="4"/>
  <c r="T1087" i="4"/>
  <c r="Q1047" i="4"/>
  <c r="S1047" i="4"/>
  <c r="U1047" i="4"/>
  <c r="T1047" i="4"/>
  <c r="Q999" i="4"/>
  <c r="S999" i="4"/>
  <c r="U999" i="4"/>
  <c r="T999" i="4"/>
  <c r="Q951" i="4"/>
  <c r="S951" i="4"/>
  <c r="U951" i="4"/>
  <c r="T951" i="4"/>
  <c r="Q911" i="4"/>
  <c r="S911" i="4"/>
  <c r="T911" i="4"/>
  <c r="Q879" i="4"/>
  <c r="S879" i="4"/>
  <c r="U879" i="4"/>
  <c r="T879" i="4"/>
  <c r="Q823" i="4"/>
  <c r="S823" i="4"/>
  <c r="U823" i="4"/>
  <c r="T823" i="4"/>
  <c r="Q791" i="4"/>
  <c r="S791" i="4"/>
  <c r="U791" i="4"/>
  <c r="T791" i="4"/>
  <c r="Q751" i="4"/>
  <c r="S751" i="4"/>
  <c r="U751" i="4"/>
  <c r="T751" i="4"/>
  <c r="Q711" i="4"/>
  <c r="S711" i="4"/>
  <c r="U711" i="4"/>
  <c r="T711" i="4"/>
  <c r="Q655" i="4"/>
  <c r="S655" i="4"/>
  <c r="U655" i="4"/>
  <c r="T655" i="4"/>
  <c r="Q607" i="4"/>
  <c r="S607" i="4"/>
  <c r="U607" i="4"/>
  <c r="T607" i="4"/>
  <c r="Q543" i="4"/>
  <c r="S543" i="4"/>
  <c r="U543" i="4"/>
  <c r="T543" i="4"/>
  <c r="Q511" i="4"/>
  <c r="S511" i="4"/>
  <c r="U511" i="4"/>
  <c r="T511" i="4"/>
  <c r="Q487" i="4"/>
  <c r="S487" i="4"/>
  <c r="U487" i="4"/>
  <c r="T487" i="4"/>
  <c r="Q463" i="4"/>
  <c r="S463" i="4"/>
  <c r="U463" i="4"/>
  <c r="T463" i="4"/>
  <c r="Q423" i="4"/>
  <c r="U423" i="4"/>
  <c r="T423" i="4"/>
  <c r="S423" i="4"/>
  <c r="U943" i="4"/>
  <c r="S1134" i="4"/>
  <c r="Q1134" i="4"/>
  <c r="Q1078" i="4"/>
  <c r="S1078" i="4"/>
  <c r="U1078" i="4"/>
  <c r="S1030" i="4"/>
  <c r="Q1030" i="4"/>
  <c r="U1030" i="4"/>
  <c r="Q982" i="4"/>
  <c r="S982" i="4"/>
  <c r="U982" i="4"/>
  <c r="Q918" i="4"/>
  <c r="S918" i="4"/>
  <c r="U918" i="4"/>
  <c r="Q854" i="4"/>
  <c r="S854" i="4"/>
  <c r="U854" i="4"/>
  <c r="Q566" i="4"/>
  <c r="S566" i="4"/>
  <c r="U566" i="4"/>
  <c r="Q1146" i="4"/>
  <c r="U1146" i="4"/>
  <c r="S1146" i="4"/>
  <c r="Q1138" i="4"/>
  <c r="S1138" i="4"/>
  <c r="U1138" i="4"/>
  <c r="Q1130" i="4"/>
  <c r="U1130" i="4"/>
  <c r="S1130" i="4"/>
  <c r="Q1122" i="4"/>
  <c r="U1122" i="4"/>
  <c r="S1122" i="4"/>
  <c r="Q1114" i="4"/>
  <c r="S1114" i="4"/>
  <c r="U1114" i="4"/>
  <c r="S1106" i="4"/>
  <c r="U1106" i="4"/>
  <c r="Q1106" i="4"/>
  <c r="Q1098" i="4"/>
  <c r="S1098" i="4"/>
  <c r="U1098" i="4"/>
  <c r="Q1090" i="4"/>
  <c r="U1090" i="4"/>
  <c r="S1090" i="4"/>
  <c r="Q1082" i="4"/>
  <c r="U1082" i="4"/>
  <c r="S1082" i="4"/>
  <c r="Q1074" i="4"/>
  <c r="S1074" i="4"/>
  <c r="U1074" i="4"/>
  <c r="Q1066" i="4"/>
  <c r="U1066" i="4"/>
  <c r="S1066" i="4"/>
  <c r="Q1058" i="4"/>
  <c r="U1058" i="4"/>
  <c r="S1058" i="4"/>
  <c r="Q1050" i="4"/>
  <c r="U1050" i="4"/>
  <c r="S1050" i="4"/>
  <c r="Q1042" i="4"/>
  <c r="S1042" i="4"/>
  <c r="U1042" i="4"/>
  <c r="Q1034" i="4"/>
  <c r="U1034" i="4"/>
  <c r="S1034" i="4"/>
  <c r="Q1026" i="4"/>
  <c r="U1026" i="4"/>
  <c r="S1026" i="4"/>
  <c r="Q1018" i="4"/>
  <c r="U1018" i="4"/>
  <c r="S1018" i="4"/>
  <c r="Q1010" i="4"/>
  <c r="S1010" i="4"/>
  <c r="U1010" i="4"/>
  <c r="Q1002" i="4"/>
  <c r="U1002" i="4"/>
  <c r="S1002" i="4"/>
  <c r="Q994" i="4"/>
  <c r="S994" i="4"/>
  <c r="U994" i="4"/>
  <c r="Q986" i="4"/>
  <c r="U986" i="4"/>
  <c r="S986" i="4"/>
  <c r="Q978" i="4"/>
  <c r="S978" i="4"/>
  <c r="U978" i="4"/>
  <c r="Q970" i="4"/>
  <c r="U970" i="4"/>
  <c r="S970" i="4"/>
  <c r="Q962" i="4"/>
  <c r="U962" i="4"/>
  <c r="S962" i="4"/>
  <c r="Q954" i="4"/>
  <c r="U954" i="4"/>
  <c r="S954" i="4"/>
  <c r="Q946" i="4"/>
  <c r="S946" i="4"/>
  <c r="U946" i="4"/>
  <c r="U938" i="4"/>
  <c r="Q938" i="4"/>
  <c r="Q930" i="4"/>
  <c r="S930" i="4"/>
  <c r="U930" i="4"/>
  <c r="Q922" i="4"/>
  <c r="S922" i="4"/>
  <c r="U922" i="4"/>
  <c r="Q914" i="4"/>
  <c r="U914" i="4"/>
  <c r="S914" i="4"/>
  <c r="Q906" i="4"/>
  <c r="S906" i="4"/>
  <c r="U906" i="4"/>
  <c r="Q898" i="4"/>
  <c r="U898" i="4"/>
  <c r="S898" i="4"/>
  <c r="Q890" i="4"/>
  <c r="S890" i="4"/>
  <c r="U890" i="4"/>
  <c r="Q882" i="4"/>
  <c r="S882" i="4"/>
  <c r="U882" i="4"/>
  <c r="Q874" i="4"/>
  <c r="S874" i="4"/>
  <c r="U874" i="4"/>
  <c r="Q866" i="4"/>
  <c r="S866" i="4"/>
  <c r="U866" i="4"/>
  <c r="Q858" i="4"/>
  <c r="S858" i="4"/>
  <c r="U858" i="4"/>
  <c r="Q850" i="4"/>
  <c r="U850" i="4"/>
  <c r="S850" i="4"/>
  <c r="Q842" i="4"/>
  <c r="S842" i="4"/>
  <c r="U842" i="4"/>
  <c r="Q834" i="4"/>
  <c r="S834" i="4"/>
  <c r="U834" i="4"/>
  <c r="Q826" i="4"/>
  <c r="S826" i="4"/>
  <c r="U826" i="4"/>
  <c r="Q818" i="4"/>
  <c r="S818" i="4"/>
  <c r="U818" i="4"/>
  <c r="Q810" i="4"/>
  <c r="S810" i="4"/>
  <c r="U810" i="4"/>
  <c r="Q802" i="4"/>
  <c r="S802" i="4"/>
  <c r="U802" i="4"/>
  <c r="Q794" i="4"/>
  <c r="U794" i="4"/>
  <c r="S794" i="4"/>
  <c r="S786" i="4"/>
  <c r="Q786" i="4"/>
  <c r="U786" i="4"/>
  <c r="Q778" i="4"/>
  <c r="S778" i="4"/>
  <c r="U778" i="4"/>
  <c r="Q770" i="4"/>
  <c r="U770" i="4"/>
  <c r="S770" i="4"/>
  <c r="Q762" i="4"/>
  <c r="S762" i="4"/>
  <c r="U762" i="4"/>
  <c r="Q754" i="4"/>
  <c r="S754" i="4"/>
  <c r="U754" i="4"/>
  <c r="Q746" i="4"/>
  <c r="S746" i="4"/>
  <c r="Q738" i="4"/>
  <c r="S738" i="4"/>
  <c r="U738" i="4"/>
  <c r="Q730" i="4"/>
  <c r="U730" i="4"/>
  <c r="S730" i="4"/>
  <c r="Q722" i="4"/>
  <c r="S722" i="4"/>
  <c r="Q714" i="4"/>
  <c r="S714" i="4"/>
  <c r="U714" i="4"/>
  <c r="Q706" i="4"/>
  <c r="U706" i="4"/>
  <c r="S706" i="4"/>
  <c r="Q698" i="4"/>
  <c r="U698" i="4"/>
  <c r="S698" i="4"/>
  <c r="Q690" i="4"/>
  <c r="S690" i="4"/>
  <c r="U690" i="4"/>
  <c r="Q682" i="4"/>
  <c r="S682" i="4"/>
  <c r="U682" i="4"/>
  <c r="Q674" i="4"/>
  <c r="S674" i="4"/>
  <c r="U674" i="4"/>
  <c r="Q666" i="4"/>
  <c r="U666" i="4"/>
  <c r="S666" i="4"/>
  <c r="Q658" i="4"/>
  <c r="S658" i="4"/>
  <c r="Q650" i="4"/>
  <c r="S650" i="4"/>
  <c r="U650" i="4"/>
  <c r="Q642" i="4"/>
  <c r="U642" i="4"/>
  <c r="S642" i="4"/>
  <c r="Q634" i="4"/>
  <c r="U634" i="4"/>
  <c r="S634" i="4"/>
  <c r="Q626" i="4"/>
  <c r="S626" i="4"/>
  <c r="U626" i="4"/>
  <c r="Q618" i="4"/>
  <c r="S618" i="4"/>
  <c r="U618" i="4"/>
  <c r="Q610" i="4"/>
  <c r="S610" i="4"/>
  <c r="U610" i="4"/>
  <c r="Q602" i="4"/>
  <c r="U602" i="4"/>
  <c r="S602" i="4"/>
  <c r="Q594" i="4"/>
  <c r="S594" i="4"/>
  <c r="U594" i="4"/>
  <c r="Q586" i="4"/>
  <c r="S586" i="4"/>
  <c r="U586" i="4"/>
  <c r="Q578" i="4"/>
  <c r="S578" i="4"/>
  <c r="U578" i="4"/>
  <c r="Q570" i="4"/>
  <c r="U570" i="4"/>
  <c r="S570" i="4"/>
  <c r="Q562" i="4"/>
  <c r="S562" i="4"/>
  <c r="U562" i="4"/>
  <c r="Q554" i="4"/>
  <c r="S554" i="4"/>
  <c r="U554" i="4"/>
  <c r="Q546" i="4"/>
  <c r="S546" i="4"/>
  <c r="U546" i="4"/>
  <c r="Q538" i="4"/>
  <c r="S538" i="4"/>
  <c r="U538" i="4"/>
  <c r="Q530" i="4"/>
  <c r="S530" i="4"/>
  <c r="U530" i="4"/>
  <c r="Q522" i="4"/>
  <c r="S522" i="4"/>
  <c r="U522" i="4"/>
  <c r="Q514" i="4"/>
  <c r="S514" i="4"/>
  <c r="U514" i="4"/>
  <c r="Q506" i="4"/>
  <c r="S506" i="4"/>
  <c r="U506" i="4"/>
  <c r="Q498" i="4"/>
  <c r="S498" i="4"/>
  <c r="U498" i="4"/>
  <c r="Q490" i="4"/>
  <c r="S490" i="4"/>
  <c r="U490" i="4"/>
  <c r="Q482" i="4"/>
  <c r="S482" i="4"/>
  <c r="U482" i="4"/>
  <c r="Q474" i="4"/>
  <c r="S474" i="4"/>
  <c r="U474" i="4"/>
  <c r="Q466" i="4"/>
  <c r="S466" i="4"/>
  <c r="U466" i="4"/>
  <c r="Q458" i="4"/>
  <c r="S458" i="4"/>
  <c r="U458" i="4"/>
  <c r="Q450" i="4"/>
  <c r="S450" i="4"/>
  <c r="U450" i="4"/>
  <c r="Q442" i="4"/>
  <c r="S442" i="4"/>
  <c r="U442" i="4"/>
  <c r="Q434" i="4"/>
  <c r="U434" i="4"/>
  <c r="S434" i="4"/>
  <c r="Q426" i="4"/>
  <c r="S426" i="4"/>
  <c r="U426" i="4"/>
  <c r="Q418" i="4"/>
  <c r="S418" i="4"/>
  <c r="U418" i="4"/>
  <c r="Q410" i="4"/>
  <c r="S410" i="4"/>
  <c r="U410" i="4"/>
  <c r="T410" i="4"/>
  <c r="Q402" i="4"/>
  <c r="S402" i="4"/>
  <c r="U402" i="4"/>
  <c r="T402" i="4"/>
  <c r="Q394" i="4"/>
  <c r="S394" i="4"/>
  <c r="U394" i="4"/>
  <c r="Q386" i="4"/>
  <c r="S386" i="4"/>
  <c r="U386" i="4"/>
  <c r="Q378" i="4"/>
  <c r="S378" i="4"/>
  <c r="T378" i="4"/>
  <c r="U378" i="4"/>
  <c r="Q370" i="4"/>
  <c r="U370" i="4"/>
  <c r="S370" i="4"/>
  <c r="T370" i="4"/>
  <c r="Q362" i="4"/>
  <c r="S362" i="4"/>
  <c r="U362" i="4"/>
  <c r="T362" i="4"/>
  <c r="Q354" i="4"/>
  <c r="S354" i="4"/>
  <c r="U354" i="4"/>
  <c r="Q346" i="4"/>
  <c r="S346" i="4"/>
  <c r="U346" i="4"/>
  <c r="T346" i="4"/>
  <c r="Q338" i="4"/>
  <c r="S338" i="4"/>
  <c r="U338" i="4"/>
  <c r="T338" i="4"/>
  <c r="Q330" i="4"/>
  <c r="S330" i="4"/>
  <c r="U330" i="4"/>
  <c r="Q322" i="4"/>
  <c r="S322" i="4"/>
  <c r="U322" i="4"/>
  <c r="Q314" i="4"/>
  <c r="S314" i="4"/>
  <c r="U314" i="4"/>
  <c r="T314" i="4"/>
  <c r="Q306" i="4"/>
  <c r="S306" i="4"/>
  <c r="U306" i="4"/>
  <c r="T306" i="4"/>
  <c r="Q298" i="4"/>
  <c r="S298" i="4"/>
  <c r="U298" i="4"/>
  <c r="T298" i="4"/>
  <c r="Q290" i="4"/>
  <c r="S290" i="4"/>
  <c r="U290" i="4"/>
  <c r="Q282" i="4"/>
  <c r="S282" i="4"/>
  <c r="U282" i="4"/>
  <c r="T282" i="4"/>
  <c r="Q274" i="4"/>
  <c r="S274" i="4"/>
  <c r="T274" i="4"/>
  <c r="U274" i="4"/>
  <c r="S266" i="4"/>
  <c r="Q266" i="4"/>
  <c r="U266" i="4"/>
  <c r="Q258" i="4"/>
  <c r="S258" i="4"/>
  <c r="U258" i="4"/>
  <c r="T258" i="4"/>
  <c r="Q250" i="4"/>
  <c r="S250" i="4"/>
  <c r="Q242" i="4"/>
  <c r="S242" i="4"/>
  <c r="U242" i="4"/>
  <c r="T242" i="4"/>
  <c r="Q234" i="4"/>
  <c r="S234" i="4"/>
  <c r="U234" i="4"/>
  <c r="Q226" i="4"/>
  <c r="S226" i="4"/>
  <c r="U226" i="4"/>
  <c r="T226" i="4"/>
  <c r="Q218" i="4"/>
  <c r="S218" i="4"/>
  <c r="U218" i="4"/>
  <c r="T218" i="4"/>
  <c r="Q210" i="4"/>
  <c r="S210" i="4"/>
  <c r="U210" i="4"/>
  <c r="S202" i="4"/>
  <c r="Q202" i="4"/>
  <c r="Q194" i="4"/>
  <c r="S194" i="4"/>
  <c r="U194" i="4"/>
  <c r="Q186" i="4"/>
  <c r="S186" i="4"/>
  <c r="U186" i="4"/>
  <c r="T186" i="4"/>
  <c r="Q178" i="4"/>
  <c r="S178" i="4"/>
  <c r="U178" i="4"/>
  <c r="T178" i="4"/>
  <c r="Q170" i="4"/>
  <c r="S170" i="4"/>
  <c r="U170" i="4"/>
  <c r="T170" i="4"/>
  <c r="Q162" i="4"/>
  <c r="S162" i="4"/>
  <c r="U162" i="4"/>
  <c r="T162" i="4"/>
  <c r="Q154" i="4"/>
  <c r="S154" i="4"/>
  <c r="U154" i="4"/>
  <c r="Q146" i="4"/>
  <c r="S146" i="4"/>
  <c r="U146" i="4"/>
  <c r="T146" i="4"/>
  <c r="Q138" i="4"/>
  <c r="S138" i="4"/>
  <c r="U138" i="4"/>
  <c r="T138" i="4"/>
  <c r="Q130" i="4"/>
  <c r="S130" i="4"/>
  <c r="U130" i="4"/>
  <c r="Q122" i="4"/>
  <c r="S122" i="4"/>
  <c r="U122" i="4"/>
  <c r="T122" i="4"/>
  <c r="Q114" i="4"/>
  <c r="S114" i="4"/>
  <c r="U114" i="4"/>
  <c r="T114" i="4"/>
  <c r="Q106" i="4"/>
  <c r="S106" i="4"/>
  <c r="U106" i="4"/>
  <c r="T106" i="4"/>
  <c r="Q98" i="4"/>
  <c r="S98" i="4"/>
  <c r="U98" i="4"/>
  <c r="T98" i="4"/>
  <c r="S90" i="4"/>
  <c r="Q90" i="4"/>
  <c r="U90" i="4"/>
  <c r="T90" i="4"/>
  <c r="Q82" i="4"/>
  <c r="S82" i="4"/>
  <c r="U82" i="4"/>
  <c r="T82" i="4"/>
  <c r="Q74" i="4"/>
  <c r="S74" i="4"/>
  <c r="U74" i="4"/>
  <c r="Q66" i="4"/>
  <c r="S66" i="4"/>
  <c r="U66" i="4"/>
  <c r="T66" i="4"/>
  <c r="Q58" i="4"/>
  <c r="S58" i="4"/>
  <c r="T58" i="4"/>
  <c r="U58" i="4"/>
  <c r="Q50" i="4"/>
  <c r="S50" i="4"/>
  <c r="U50" i="4"/>
  <c r="T50" i="4"/>
  <c r="Q42" i="4"/>
  <c r="S42" i="4"/>
  <c r="U42" i="4"/>
  <c r="T42" i="4"/>
  <c r="Q34" i="4"/>
  <c r="U34" i="4" s="1"/>
  <c r="S34" i="4"/>
  <c r="T34" i="4"/>
  <c r="V34" i="4" s="1"/>
  <c r="T1142" i="4"/>
  <c r="T1122" i="4"/>
  <c r="T1101" i="4"/>
  <c r="T1078" i="4"/>
  <c r="T1058" i="4"/>
  <c r="T1037" i="4"/>
  <c r="T994" i="4"/>
  <c r="T973" i="4"/>
  <c r="T930" i="4"/>
  <c r="T909" i="4"/>
  <c r="T886" i="4"/>
  <c r="T866" i="4"/>
  <c r="T845" i="4"/>
  <c r="T802" i="4"/>
  <c r="T781" i="4"/>
  <c r="T758" i="4"/>
  <c r="T738" i="4"/>
  <c r="T717" i="4"/>
  <c r="T694" i="4"/>
  <c r="T674" i="4"/>
  <c r="T653" i="4"/>
  <c r="T630" i="4"/>
  <c r="T610" i="4"/>
  <c r="T566" i="4"/>
  <c r="T546" i="4"/>
  <c r="T502" i="4"/>
  <c r="T482" i="4"/>
  <c r="T438" i="4"/>
  <c r="T418" i="4"/>
  <c r="T394" i="4"/>
  <c r="T266" i="4"/>
  <c r="T238" i="4"/>
  <c r="T202" i="4"/>
  <c r="T74" i="4"/>
  <c r="U990" i="4"/>
  <c r="U722" i="4"/>
  <c r="U575" i="4"/>
  <c r="S1141" i="4"/>
  <c r="S851" i="4"/>
  <c r="Q1135" i="4"/>
  <c r="S1135" i="4"/>
  <c r="T1135" i="4"/>
  <c r="S1095" i="4"/>
  <c r="Q1095" i="4"/>
  <c r="U1095" i="4"/>
  <c r="T1095" i="4"/>
  <c r="Q1039" i="4"/>
  <c r="S1039" i="4"/>
  <c r="T1039" i="4"/>
  <c r="U1039" i="4"/>
  <c r="Q983" i="4"/>
  <c r="S983" i="4"/>
  <c r="U983" i="4"/>
  <c r="T983" i="4"/>
  <c r="S927" i="4"/>
  <c r="Q927" i="4"/>
  <c r="U927" i="4"/>
  <c r="T927" i="4"/>
  <c r="Q871" i="4"/>
  <c r="S871" i="4"/>
  <c r="T871" i="4"/>
  <c r="Q807" i="4"/>
  <c r="S807" i="4"/>
  <c r="U807" i="4"/>
  <c r="T807" i="4"/>
  <c r="Q767" i="4"/>
  <c r="S767" i="4"/>
  <c r="U767" i="4"/>
  <c r="T767" i="4"/>
  <c r="Q703" i="4"/>
  <c r="S703" i="4"/>
  <c r="T703" i="4"/>
  <c r="U703" i="4"/>
  <c r="Q639" i="4"/>
  <c r="S639" i="4"/>
  <c r="T639" i="4"/>
  <c r="U639" i="4"/>
  <c r="Q567" i="4"/>
  <c r="S567" i="4"/>
  <c r="U567" i="4"/>
  <c r="T567" i="4"/>
  <c r="Q447" i="4"/>
  <c r="S447" i="4"/>
  <c r="U447" i="4"/>
  <c r="T447" i="4"/>
  <c r="Q1126" i="4"/>
  <c r="S1126" i="4"/>
  <c r="U1126" i="4"/>
  <c r="S1070" i="4"/>
  <c r="Q1070" i="4"/>
  <c r="U1070" i="4"/>
  <c r="Q1014" i="4"/>
  <c r="S1014" i="4"/>
  <c r="U1014" i="4"/>
  <c r="Q950" i="4"/>
  <c r="S950" i="4"/>
  <c r="U950" i="4"/>
  <c r="Q846" i="4"/>
  <c r="S846" i="4"/>
  <c r="U846" i="4"/>
  <c r="Q582" i="4"/>
  <c r="S582" i="4"/>
  <c r="U582" i="4"/>
  <c r="Q1145" i="4"/>
  <c r="S1145" i="4"/>
  <c r="U1145" i="4"/>
  <c r="T1145" i="4"/>
  <c r="Q1137" i="4"/>
  <c r="S1137" i="4"/>
  <c r="U1137" i="4"/>
  <c r="T1137" i="4"/>
  <c r="Q1129" i="4"/>
  <c r="S1129" i="4"/>
  <c r="U1129" i="4"/>
  <c r="T1129" i="4"/>
  <c r="Q1121" i="4"/>
  <c r="S1121" i="4"/>
  <c r="T1121" i="4"/>
  <c r="U1121" i="4"/>
  <c r="Q1113" i="4"/>
  <c r="S1113" i="4"/>
  <c r="U1113" i="4"/>
  <c r="T1113" i="4"/>
  <c r="S1105" i="4"/>
  <c r="Q1105" i="4"/>
  <c r="U1105" i="4"/>
  <c r="T1105" i="4"/>
  <c r="Q1097" i="4"/>
  <c r="S1097" i="4"/>
  <c r="U1097" i="4"/>
  <c r="T1097" i="4"/>
  <c r="Q1089" i="4"/>
  <c r="S1089" i="4"/>
  <c r="T1089" i="4"/>
  <c r="Q1081" i="4"/>
  <c r="S1081" i="4"/>
  <c r="U1081" i="4"/>
  <c r="T1081" i="4"/>
  <c r="Q1073" i="4"/>
  <c r="S1073" i="4"/>
  <c r="T1073" i="4"/>
  <c r="U1073" i="4"/>
  <c r="Q1065" i="4"/>
  <c r="S1065" i="4"/>
  <c r="U1065" i="4"/>
  <c r="T1065" i="4"/>
  <c r="Q1057" i="4"/>
  <c r="S1057" i="4"/>
  <c r="U1057" i="4"/>
  <c r="T1057" i="4"/>
  <c r="Q1049" i="4"/>
  <c r="S1049" i="4"/>
  <c r="U1049" i="4"/>
  <c r="T1049" i="4"/>
  <c r="S1041" i="4"/>
  <c r="Q1041" i="4"/>
  <c r="T1041" i="4"/>
  <c r="Q1033" i="4"/>
  <c r="S1033" i="4"/>
  <c r="U1033" i="4"/>
  <c r="T1033" i="4"/>
  <c r="Q1025" i="4"/>
  <c r="S1025" i="4"/>
  <c r="T1025" i="4"/>
  <c r="Q1017" i="4"/>
  <c r="S1017" i="4"/>
  <c r="U1017" i="4"/>
  <c r="T1017" i="4"/>
  <c r="Q1009" i="4"/>
  <c r="S1009" i="4"/>
  <c r="U1009" i="4"/>
  <c r="T1009" i="4"/>
  <c r="S1001" i="4"/>
  <c r="Q1001" i="4"/>
  <c r="U1001" i="4"/>
  <c r="T1001" i="4"/>
  <c r="Q993" i="4"/>
  <c r="S993" i="4"/>
  <c r="T993" i="4"/>
  <c r="U993" i="4"/>
  <c r="Q985" i="4"/>
  <c r="S985" i="4"/>
  <c r="U985" i="4"/>
  <c r="T985" i="4"/>
  <c r="Q977" i="4"/>
  <c r="S977" i="4"/>
  <c r="U977" i="4"/>
  <c r="T977" i="4"/>
  <c r="Q969" i="4"/>
  <c r="S969" i="4"/>
  <c r="U969" i="4"/>
  <c r="T969" i="4"/>
  <c r="Q961" i="4"/>
  <c r="S961" i="4"/>
  <c r="T961" i="4"/>
  <c r="Q953" i="4"/>
  <c r="S953" i="4"/>
  <c r="U953" i="4"/>
  <c r="T953" i="4"/>
  <c r="Q945" i="4"/>
  <c r="S945" i="4"/>
  <c r="T945" i="4"/>
  <c r="U945" i="4"/>
  <c r="Q937" i="4"/>
  <c r="U937" i="4"/>
  <c r="S937" i="4"/>
  <c r="T937" i="4"/>
  <c r="Q929" i="4"/>
  <c r="S929" i="4"/>
  <c r="U929" i="4"/>
  <c r="T929" i="4"/>
  <c r="Q921" i="4"/>
  <c r="S921" i="4"/>
  <c r="U921" i="4"/>
  <c r="T921" i="4"/>
  <c r="Q913" i="4"/>
  <c r="U913" i="4"/>
  <c r="S913" i="4"/>
  <c r="T913" i="4"/>
  <c r="Q905" i="4"/>
  <c r="S905" i="4"/>
  <c r="U905" i="4"/>
  <c r="T905" i="4"/>
  <c r="Q897" i="4"/>
  <c r="S897" i="4"/>
  <c r="U897" i="4"/>
  <c r="T897" i="4"/>
  <c r="Q889" i="4"/>
  <c r="S889" i="4"/>
  <c r="U889" i="4"/>
  <c r="T889" i="4"/>
  <c r="Q881" i="4"/>
  <c r="U881" i="4"/>
  <c r="S881" i="4"/>
  <c r="T881" i="4"/>
  <c r="S873" i="4"/>
  <c r="U873" i="4"/>
  <c r="Q873" i="4"/>
  <c r="T873" i="4"/>
  <c r="Q865" i="4"/>
  <c r="S865" i="4"/>
  <c r="U865" i="4"/>
  <c r="T865" i="4"/>
  <c r="Q857" i="4"/>
  <c r="S857" i="4"/>
  <c r="U857" i="4"/>
  <c r="T857" i="4"/>
  <c r="Q849" i="4"/>
  <c r="U849" i="4"/>
  <c r="S849" i="4"/>
  <c r="T849" i="4"/>
  <c r="Q841" i="4"/>
  <c r="S841" i="4"/>
  <c r="U841" i="4"/>
  <c r="T841" i="4"/>
  <c r="Q833" i="4"/>
  <c r="S833" i="4"/>
  <c r="U833" i="4"/>
  <c r="T833" i="4"/>
  <c r="Q825" i="4"/>
  <c r="S825" i="4"/>
  <c r="U825" i="4"/>
  <c r="T825" i="4"/>
  <c r="Q817" i="4"/>
  <c r="S817" i="4"/>
  <c r="T817" i="4"/>
  <c r="Q809" i="4"/>
  <c r="S809" i="4"/>
  <c r="U809" i="4"/>
  <c r="T809" i="4"/>
  <c r="Q801" i="4"/>
  <c r="T801" i="4"/>
  <c r="U801" i="4"/>
  <c r="S801" i="4"/>
  <c r="Q793" i="4"/>
  <c r="U793" i="4"/>
  <c r="S793" i="4"/>
  <c r="T793" i="4"/>
  <c r="Q785" i="4"/>
  <c r="S785" i="4"/>
  <c r="U785" i="4"/>
  <c r="T785" i="4"/>
  <c r="Q777" i="4"/>
  <c r="U777" i="4"/>
  <c r="S777" i="4"/>
  <c r="T777" i="4"/>
  <c r="Q769" i="4"/>
  <c r="S769" i="4"/>
  <c r="U769" i="4"/>
  <c r="T769" i="4"/>
  <c r="Q761" i="4"/>
  <c r="S761" i="4"/>
  <c r="T761" i="4"/>
  <c r="U761" i="4"/>
  <c r="Q753" i="4"/>
  <c r="S753" i="4"/>
  <c r="U753" i="4"/>
  <c r="T753" i="4"/>
  <c r="Q745" i="4"/>
  <c r="S745" i="4"/>
  <c r="U745" i="4"/>
  <c r="T745" i="4"/>
  <c r="U737" i="4"/>
  <c r="S737" i="4"/>
  <c r="Q737" i="4"/>
  <c r="T737" i="4"/>
  <c r="Q729" i="4"/>
  <c r="U729" i="4"/>
  <c r="S729" i="4"/>
  <c r="T729" i="4"/>
  <c r="Q721" i="4"/>
  <c r="U721" i="4"/>
  <c r="S721" i="4"/>
  <c r="T721" i="4"/>
  <c r="Q713" i="4"/>
  <c r="U713" i="4"/>
  <c r="S713" i="4"/>
  <c r="T713" i="4"/>
  <c r="Q705" i="4"/>
  <c r="S705" i="4"/>
  <c r="U705" i="4"/>
  <c r="T705" i="4"/>
  <c r="S697" i="4"/>
  <c r="Q697" i="4"/>
  <c r="U697" i="4"/>
  <c r="T697" i="4"/>
  <c r="Q689" i="4"/>
  <c r="U689" i="4"/>
  <c r="S689" i="4"/>
  <c r="T689" i="4"/>
  <c r="Q681" i="4"/>
  <c r="S681" i="4"/>
  <c r="U681" i="4"/>
  <c r="T681" i="4"/>
  <c r="Q673" i="4"/>
  <c r="U673" i="4"/>
  <c r="S673" i="4"/>
  <c r="T673" i="4"/>
  <c r="Q665" i="4"/>
  <c r="U665" i="4"/>
  <c r="S665" i="4"/>
  <c r="T665" i="4"/>
  <c r="Q657" i="4"/>
  <c r="U657" i="4"/>
  <c r="S657" i="4"/>
  <c r="T657" i="4"/>
  <c r="Q649" i="4"/>
  <c r="U649" i="4"/>
  <c r="S649" i="4"/>
  <c r="T649" i="4"/>
  <c r="Q641" i="4"/>
  <c r="S641" i="4"/>
  <c r="U641" i="4"/>
  <c r="T641" i="4"/>
  <c r="Q633" i="4"/>
  <c r="S633" i="4"/>
  <c r="U633" i="4"/>
  <c r="T633" i="4"/>
  <c r="Q625" i="4"/>
  <c r="U625" i="4"/>
  <c r="S625" i="4"/>
  <c r="T625" i="4"/>
  <c r="Q617" i="4"/>
  <c r="S617" i="4"/>
  <c r="U617" i="4"/>
  <c r="T617" i="4"/>
  <c r="Q609" i="4"/>
  <c r="U609" i="4"/>
  <c r="S609" i="4"/>
  <c r="T609" i="4"/>
  <c r="Q601" i="4"/>
  <c r="U601" i="4"/>
  <c r="T601" i="4"/>
  <c r="Q593" i="4"/>
  <c r="U593" i="4"/>
  <c r="T593" i="4"/>
  <c r="Q585" i="4"/>
  <c r="U585" i="4"/>
  <c r="S585" i="4"/>
  <c r="T585" i="4"/>
  <c r="Q577" i="4"/>
  <c r="S577" i="4"/>
  <c r="U577" i="4"/>
  <c r="T577" i="4"/>
  <c r="Q569" i="4"/>
  <c r="S569" i="4"/>
  <c r="U569" i="4"/>
  <c r="T569" i="4"/>
  <c r="Q561" i="4"/>
  <c r="U561" i="4"/>
  <c r="S561" i="4"/>
  <c r="T561" i="4"/>
  <c r="Q553" i="4"/>
  <c r="S553" i="4"/>
  <c r="U553" i="4"/>
  <c r="T553" i="4"/>
  <c r="Q545" i="4"/>
  <c r="S545" i="4"/>
  <c r="U545" i="4"/>
  <c r="T545" i="4"/>
  <c r="Q537" i="4"/>
  <c r="S537" i="4"/>
  <c r="U537" i="4"/>
  <c r="T537" i="4"/>
  <c r="Q529" i="4"/>
  <c r="S529" i="4"/>
  <c r="U529" i="4"/>
  <c r="T529" i="4"/>
  <c r="Q521" i="4"/>
  <c r="S521" i="4"/>
  <c r="U521" i="4"/>
  <c r="T521" i="4"/>
  <c r="Q513" i="4"/>
  <c r="S513" i="4"/>
  <c r="U513" i="4"/>
  <c r="T513" i="4"/>
  <c r="Q505" i="4"/>
  <c r="S505" i="4"/>
  <c r="U505" i="4"/>
  <c r="T505" i="4"/>
  <c r="Q497" i="4"/>
  <c r="S497" i="4"/>
  <c r="U497" i="4"/>
  <c r="T497" i="4"/>
  <c r="Q489" i="4"/>
  <c r="U489" i="4"/>
  <c r="S489" i="4"/>
  <c r="T489" i="4"/>
  <c r="Q481" i="4"/>
  <c r="S481" i="4"/>
  <c r="U481" i="4"/>
  <c r="T481" i="4"/>
  <c r="Q473" i="4"/>
  <c r="S473" i="4"/>
  <c r="U473" i="4"/>
  <c r="T473" i="4"/>
  <c r="Q465" i="4"/>
  <c r="S465" i="4"/>
  <c r="U465" i="4"/>
  <c r="T465" i="4"/>
  <c r="Q457" i="4"/>
  <c r="S457" i="4"/>
  <c r="U457" i="4"/>
  <c r="T457" i="4"/>
  <c r="S449" i="4"/>
  <c r="U449" i="4"/>
  <c r="Q449" i="4"/>
  <c r="T449" i="4"/>
  <c r="Q441" i="4"/>
  <c r="S441" i="4"/>
  <c r="U441" i="4"/>
  <c r="T441" i="4"/>
  <c r="Q433" i="4"/>
  <c r="S433" i="4"/>
  <c r="U433" i="4"/>
  <c r="T433" i="4"/>
  <c r="Q425" i="4"/>
  <c r="U425" i="4"/>
  <c r="T425" i="4"/>
  <c r="Q417" i="4"/>
  <c r="S417" i="4"/>
  <c r="U417" i="4"/>
  <c r="T417" i="4"/>
  <c r="Q409" i="4"/>
  <c r="S409" i="4"/>
  <c r="U409" i="4"/>
  <c r="Q401" i="4"/>
  <c r="S401" i="4"/>
  <c r="U401" i="4"/>
  <c r="T401" i="4"/>
  <c r="Q393" i="4"/>
  <c r="U393" i="4"/>
  <c r="S393" i="4"/>
  <c r="T393" i="4"/>
  <c r="Q385" i="4"/>
  <c r="S385" i="4"/>
  <c r="U385" i="4"/>
  <c r="S377" i="4"/>
  <c r="Q377" i="4"/>
  <c r="U377" i="4"/>
  <c r="Q369" i="4"/>
  <c r="S369" i="4"/>
  <c r="U369" i="4"/>
  <c r="T369" i="4"/>
  <c r="Q361" i="4"/>
  <c r="U361" i="4"/>
  <c r="S361" i="4"/>
  <c r="T361" i="4"/>
  <c r="Q353" i="4"/>
  <c r="S353" i="4"/>
  <c r="U353" i="4"/>
  <c r="T353" i="4"/>
  <c r="Q345" i="4"/>
  <c r="S345" i="4"/>
  <c r="U345" i="4"/>
  <c r="Q337" i="4"/>
  <c r="S337" i="4"/>
  <c r="U337" i="4"/>
  <c r="T337" i="4"/>
  <c r="Q329" i="4"/>
  <c r="S329" i="4"/>
  <c r="U329" i="4"/>
  <c r="T329" i="4"/>
  <c r="Q321" i="4"/>
  <c r="S321" i="4"/>
  <c r="U321" i="4"/>
  <c r="Q313" i="4"/>
  <c r="S313" i="4"/>
  <c r="U313" i="4"/>
  <c r="S305" i="4"/>
  <c r="Q305" i="4"/>
  <c r="U305" i="4"/>
  <c r="T305" i="4"/>
  <c r="Q297" i="4"/>
  <c r="S297" i="4"/>
  <c r="U297" i="4"/>
  <c r="Q289" i="4"/>
  <c r="S289" i="4"/>
  <c r="U289" i="4"/>
  <c r="T289" i="4"/>
  <c r="Q281" i="4"/>
  <c r="S281" i="4"/>
  <c r="U281" i="4"/>
  <c r="Q273" i="4"/>
  <c r="S273" i="4"/>
  <c r="U273" i="4"/>
  <c r="T273" i="4"/>
  <c r="Q265" i="4"/>
  <c r="S265" i="4"/>
  <c r="U265" i="4"/>
  <c r="T265" i="4"/>
  <c r="S257" i="4"/>
  <c r="Q257" i="4"/>
  <c r="U257" i="4"/>
  <c r="T257" i="4"/>
  <c r="Q249" i="4"/>
  <c r="S249" i="4"/>
  <c r="U249" i="4"/>
  <c r="Q241" i="4"/>
  <c r="S241" i="4"/>
  <c r="U241" i="4"/>
  <c r="T241" i="4"/>
  <c r="Q233" i="4"/>
  <c r="S233" i="4"/>
  <c r="U233" i="4"/>
  <c r="T233" i="4"/>
  <c r="Q225" i="4"/>
  <c r="S225" i="4"/>
  <c r="U225" i="4"/>
  <c r="T225" i="4"/>
  <c r="Q217" i="4"/>
  <c r="S217" i="4"/>
  <c r="U217" i="4"/>
  <c r="Q209" i="4"/>
  <c r="S209" i="4"/>
  <c r="U209" i="4"/>
  <c r="T209" i="4"/>
  <c r="Q201" i="4"/>
  <c r="S201" i="4"/>
  <c r="U201" i="4"/>
  <c r="T201" i="4"/>
  <c r="S193" i="4"/>
  <c r="Q193" i="4"/>
  <c r="U193" i="4"/>
  <c r="T193" i="4"/>
  <c r="Q185" i="4"/>
  <c r="S185" i="4"/>
  <c r="U185" i="4"/>
  <c r="T185" i="4"/>
  <c r="Q177" i="4"/>
  <c r="S177" i="4"/>
  <c r="U177" i="4"/>
  <c r="T177" i="4"/>
  <c r="Q169" i="4"/>
  <c r="S169" i="4"/>
  <c r="U169" i="4"/>
  <c r="T169" i="4"/>
  <c r="Q161" i="4"/>
  <c r="S161" i="4"/>
  <c r="U161" i="4"/>
  <c r="T161" i="4"/>
  <c r="Q153" i="4"/>
  <c r="S153" i="4"/>
  <c r="U153" i="4"/>
  <c r="T153" i="4"/>
  <c r="Q145" i="4"/>
  <c r="S145" i="4"/>
  <c r="T145" i="4"/>
  <c r="U145" i="4"/>
  <c r="Q137" i="4"/>
  <c r="S137" i="4"/>
  <c r="T137" i="4"/>
  <c r="U137" i="4"/>
  <c r="Q129" i="4"/>
  <c r="S129" i="4"/>
  <c r="U129" i="4"/>
  <c r="T129" i="4"/>
  <c r="Q121" i="4"/>
  <c r="S121" i="4"/>
  <c r="T121" i="4"/>
  <c r="U121" i="4"/>
  <c r="Q113" i="4"/>
  <c r="S113" i="4"/>
  <c r="U113" i="4"/>
  <c r="T113" i="4"/>
  <c r="Q105" i="4"/>
  <c r="S105" i="4"/>
  <c r="T105" i="4"/>
  <c r="Q97" i="4"/>
  <c r="S97" i="4"/>
  <c r="U97" i="4"/>
  <c r="T97" i="4"/>
  <c r="S89" i="4"/>
  <c r="Q89" i="4"/>
  <c r="T89" i="4"/>
  <c r="U89" i="4"/>
  <c r="Q81" i="4"/>
  <c r="S81" i="4"/>
  <c r="U81" i="4"/>
  <c r="T81" i="4"/>
  <c r="Q73" i="4"/>
  <c r="S73" i="4"/>
  <c r="T73" i="4"/>
  <c r="U73" i="4"/>
  <c r="Q65" i="4"/>
  <c r="S65" i="4"/>
  <c r="U65" i="4"/>
  <c r="T65" i="4"/>
  <c r="Q57" i="4"/>
  <c r="S57" i="4"/>
  <c r="T57" i="4"/>
  <c r="U57" i="4"/>
  <c r="Q49" i="4"/>
  <c r="S49" i="4"/>
  <c r="U49" i="4"/>
  <c r="T49" i="4"/>
  <c r="Q41" i="4"/>
  <c r="S41" i="4"/>
  <c r="T41" i="4"/>
  <c r="U41" i="4"/>
  <c r="Q33" i="4"/>
  <c r="U33" i="4" s="1"/>
  <c r="S33" i="4"/>
  <c r="T33" i="4"/>
  <c r="T1141" i="4"/>
  <c r="T1098" i="4"/>
  <c r="T1077" i="4"/>
  <c r="T1054" i="4"/>
  <c r="T1034" i="4"/>
  <c r="T1013" i="4"/>
  <c r="T990" i="4"/>
  <c r="T970" i="4"/>
  <c r="T949" i="4"/>
  <c r="T926" i="4"/>
  <c r="T906" i="4"/>
  <c r="T885" i="4"/>
  <c r="T842" i="4"/>
  <c r="T821" i="4"/>
  <c r="T798" i="4"/>
  <c r="T778" i="4"/>
  <c r="T757" i="4"/>
  <c r="T734" i="4"/>
  <c r="T714" i="4"/>
  <c r="T693" i="4"/>
  <c r="T670" i="4"/>
  <c r="T650" i="4"/>
  <c r="T606" i="4"/>
  <c r="T586" i="4"/>
  <c r="T542" i="4"/>
  <c r="T522" i="4"/>
  <c r="T478" i="4"/>
  <c r="T458" i="4"/>
  <c r="T390" i="4"/>
  <c r="T366" i="4"/>
  <c r="T290" i="4"/>
  <c r="T234" i="4"/>
  <c r="T198" i="4"/>
  <c r="T130" i="4"/>
  <c r="U1087" i="4"/>
  <c r="U961" i="4"/>
  <c r="U852" i="4"/>
  <c r="U551" i="4"/>
  <c r="U202" i="4"/>
  <c r="S1107" i="4"/>
  <c r="S731" i="4"/>
  <c r="Q1063" i="4"/>
  <c r="S1063" i="4"/>
  <c r="U1063" i="4"/>
  <c r="T1063" i="4"/>
  <c r="Q1015" i="4"/>
  <c r="S1015" i="4"/>
  <c r="U1015" i="4"/>
  <c r="T1015" i="4"/>
  <c r="S967" i="4"/>
  <c r="Q967" i="4"/>
  <c r="U967" i="4"/>
  <c r="T967" i="4"/>
  <c r="S903" i="4"/>
  <c r="Q903" i="4"/>
  <c r="U903" i="4"/>
  <c r="T903" i="4"/>
  <c r="Q855" i="4"/>
  <c r="S855" i="4"/>
  <c r="U855" i="4"/>
  <c r="T855" i="4"/>
  <c r="Q799" i="4"/>
  <c r="S799" i="4"/>
  <c r="T799" i="4"/>
  <c r="Q759" i="4"/>
  <c r="S759" i="4"/>
  <c r="U759" i="4"/>
  <c r="T759" i="4"/>
  <c r="Q695" i="4"/>
  <c r="S695" i="4"/>
  <c r="U695" i="4"/>
  <c r="T695" i="4"/>
  <c r="Q631" i="4"/>
  <c r="S631" i="4"/>
  <c r="U631" i="4"/>
  <c r="T631" i="4"/>
  <c r="Q583" i="4"/>
  <c r="S583" i="4"/>
  <c r="U583" i="4"/>
  <c r="T583" i="4"/>
  <c r="Q535" i="4"/>
  <c r="S535" i="4"/>
  <c r="U535" i="4"/>
  <c r="T535" i="4"/>
  <c r="Q495" i="4"/>
  <c r="S495" i="4"/>
  <c r="U495" i="4"/>
  <c r="T495" i="4"/>
  <c r="Q471" i="4"/>
  <c r="S471" i="4"/>
  <c r="U471" i="4"/>
  <c r="T471" i="4"/>
  <c r="Q407" i="4"/>
  <c r="S407" i="4"/>
  <c r="U407" i="4"/>
  <c r="T407" i="4"/>
  <c r="Q1118" i="4"/>
  <c r="S1118" i="4"/>
  <c r="Q1062" i="4"/>
  <c r="S1062" i="4"/>
  <c r="U1062" i="4"/>
  <c r="Q1022" i="4"/>
  <c r="S1022" i="4"/>
  <c r="U1022" i="4"/>
  <c r="Q974" i="4"/>
  <c r="S974" i="4"/>
  <c r="U974" i="4"/>
  <c r="Q942" i="4"/>
  <c r="S942" i="4"/>
  <c r="U942" i="4"/>
  <c r="S902" i="4"/>
  <c r="U902" i="4"/>
  <c r="Q902" i="4"/>
  <c r="S862" i="4"/>
  <c r="Q862" i="4"/>
  <c r="U862" i="4"/>
  <c r="Q822" i="4"/>
  <c r="S822" i="4"/>
  <c r="U822" i="4"/>
  <c r="Q782" i="4"/>
  <c r="S782" i="4"/>
  <c r="U782" i="4"/>
  <c r="Q590" i="4"/>
  <c r="S590" i="4"/>
  <c r="U590" i="4"/>
  <c r="S1144" i="4"/>
  <c r="U1144" i="4"/>
  <c r="Q1144" i="4"/>
  <c r="T1144" i="4"/>
  <c r="Q1136" i="4"/>
  <c r="S1136" i="4"/>
  <c r="U1136" i="4"/>
  <c r="T1136" i="4"/>
  <c r="Q1128" i="4"/>
  <c r="S1128" i="4"/>
  <c r="U1128" i="4"/>
  <c r="T1128" i="4"/>
  <c r="Q1120" i="4"/>
  <c r="S1120" i="4"/>
  <c r="U1120" i="4"/>
  <c r="T1120" i="4"/>
  <c r="Q1112" i="4"/>
  <c r="U1112" i="4"/>
  <c r="S1112" i="4"/>
  <c r="T1112" i="4"/>
  <c r="Q1104" i="4"/>
  <c r="S1104" i="4"/>
  <c r="U1104" i="4"/>
  <c r="T1104" i="4"/>
  <c r="Q1096" i="4"/>
  <c r="S1096" i="4"/>
  <c r="U1096" i="4"/>
  <c r="T1096" i="4"/>
  <c r="Q1088" i="4"/>
  <c r="S1088" i="4"/>
  <c r="U1088" i="4"/>
  <c r="T1088" i="4"/>
  <c r="Q1080" i="4"/>
  <c r="S1080" i="4"/>
  <c r="U1080" i="4"/>
  <c r="T1080" i="4"/>
  <c r="Q1072" i="4"/>
  <c r="U1072" i="4"/>
  <c r="T1072" i="4"/>
  <c r="S1072" i="4"/>
  <c r="Q1064" i="4"/>
  <c r="S1064" i="4"/>
  <c r="U1064" i="4"/>
  <c r="T1064" i="4"/>
  <c r="Q1056" i="4"/>
  <c r="U1056" i="4"/>
  <c r="S1056" i="4"/>
  <c r="T1056" i="4"/>
  <c r="Q1048" i="4"/>
  <c r="S1048" i="4"/>
  <c r="U1048" i="4"/>
  <c r="T1048" i="4"/>
  <c r="U1040" i="4"/>
  <c r="Q1040" i="4"/>
  <c r="T1040" i="4"/>
  <c r="S1040" i="4"/>
  <c r="Q1032" i="4"/>
  <c r="S1032" i="4"/>
  <c r="U1032" i="4"/>
  <c r="T1032" i="4"/>
  <c r="Q1024" i="4"/>
  <c r="U1024" i="4"/>
  <c r="S1024" i="4"/>
  <c r="T1024" i="4"/>
  <c r="Q1016" i="4"/>
  <c r="S1016" i="4"/>
  <c r="U1016" i="4"/>
  <c r="T1016" i="4"/>
  <c r="Q1008" i="4"/>
  <c r="S1008" i="4"/>
  <c r="U1008" i="4"/>
  <c r="T1008" i="4"/>
  <c r="Q1000" i="4"/>
  <c r="S1000" i="4"/>
  <c r="U1000" i="4"/>
  <c r="T1000" i="4"/>
  <c r="Q992" i="4"/>
  <c r="U992" i="4"/>
  <c r="S992" i="4"/>
  <c r="T992" i="4"/>
  <c r="Q984" i="4"/>
  <c r="S984" i="4"/>
  <c r="U984" i="4"/>
  <c r="T984" i="4"/>
  <c r="Q976" i="4"/>
  <c r="U976" i="4"/>
  <c r="S976" i="4"/>
  <c r="T976" i="4"/>
  <c r="Q968" i="4"/>
  <c r="S968" i="4"/>
  <c r="U968" i="4"/>
  <c r="T968" i="4"/>
  <c r="Q960" i="4"/>
  <c r="U960" i="4"/>
  <c r="S960" i="4"/>
  <c r="T960" i="4"/>
  <c r="Q952" i="4"/>
  <c r="S952" i="4"/>
  <c r="U952" i="4"/>
  <c r="T952" i="4"/>
  <c r="Q944" i="4"/>
  <c r="S944" i="4"/>
  <c r="U944" i="4"/>
  <c r="T944" i="4"/>
  <c r="Q936" i="4"/>
  <c r="S936" i="4"/>
  <c r="U936" i="4"/>
  <c r="T936" i="4"/>
  <c r="S928" i="4"/>
  <c r="Q928" i="4"/>
  <c r="U928" i="4"/>
  <c r="T928" i="4"/>
  <c r="Q920" i="4"/>
  <c r="S920" i="4"/>
  <c r="U920" i="4"/>
  <c r="T920" i="4"/>
  <c r="Q912" i="4"/>
  <c r="S912" i="4"/>
  <c r="U912" i="4"/>
  <c r="T912" i="4"/>
  <c r="Q904" i="4"/>
  <c r="S904" i="4"/>
  <c r="U904" i="4"/>
  <c r="T904" i="4"/>
  <c r="Q896" i="4"/>
  <c r="S896" i="4"/>
  <c r="U896" i="4"/>
  <c r="T896" i="4"/>
  <c r="Q888" i="4"/>
  <c r="S888" i="4"/>
  <c r="U888" i="4"/>
  <c r="T888" i="4"/>
  <c r="Q880" i="4"/>
  <c r="S880" i="4"/>
  <c r="U880" i="4"/>
  <c r="T880" i="4"/>
  <c r="Q872" i="4"/>
  <c r="S872" i="4"/>
  <c r="T872" i="4"/>
  <c r="S864" i="4"/>
  <c r="U864" i="4"/>
  <c r="Q864" i="4"/>
  <c r="T864" i="4"/>
  <c r="Q856" i="4"/>
  <c r="S856" i="4"/>
  <c r="T856" i="4"/>
  <c r="U856" i="4"/>
  <c r="Q848" i="4"/>
  <c r="S848" i="4"/>
  <c r="U848" i="4"/>
  <c r="T848" i="4"/>
  <c r="Q840" i="4"/>
  <c r="S840" i="4"/>
  <c r="U840" i="4"/>
  <c r="T840" i="4"/>
  <c r="Q832" i="4"/>
  <c r="S832" i="4"/>
  <c r="U832" i="4"/>
  <c r="T832" i="4"/>
  <c r="Q824" i="4"/>
  <c r="S824" i="4"/>
  <c r="U824" i="4"/>
  <c r="T824" i="4"/>
  <c r="Q816" i="4"/>
  <c r="S816" i="4"/>
  <c r="T816" i="4"/>
  <c r="U816" i="4"/>
  <c r="Q808" i="4"/>
  <c r="S808" i="4"/>
  <c r="U808" i="4"/>
  <c r="T808" i="4"/>
  <c r="Q800" i="4"/>
  <c r="S800" i="4"/>
  <c r="U800" i="4"/>
  <c r="T800" i="4"/>
  <c r="Q792" i="4"/>
  <c r="S792" i="4"/>
  <c r="U792" i="4"/>
  <c r="T792" i="4"/>
  <c r="Q784" i="4"/>
  <c r="S784" i="4"/>
  <c r="U784" i="4"/>
  <c r="T784" i="4"/>
  <c r="Q776" i="4"/>
  <c r="S776" i="4"/>
  <c r="U776" i="4"/>
  <c r="T776" i="4"/>
  <c r="Q768" i="4"/>
  <c r="S768" i="4"/>
  <c r="U768" i="4"/>
  <c r="T768" i="4"/>
  <c r="Q760" i="4"/>
  <c r="S760" i="4"/>
  <c r="U760" i="4"/>
  <c r="T760" i="4"/>
  <c r="Q752" i="4"/>
  <c r="S752" i="4"/>
  <c r="U752" i="4"/>
  <c r="T752" i="4"/>
  <c r="Q744" i="4"/>
  <c r="S744" i="4"/>
  <c r="U744" i="4"/>
  <c r="T744" i="4"/>
  <c r="S736" i="4"/>
  <c r="U736" i="4"/>
  <c r="Q736" i="4"/>
  <c r="T736" i="4"/>
  <c r="Q728" i="4"/>
  <c r="S728" i="4"/>
  <c r="U728" i="4"/>
  <c r="T728" i="4"/>
  <c r="Q720" i="4"/>
  <c r="S720" i="4"/>
  <c r="T720" i="4"/>
  <c r="Q712" i="4"/>
  <c r="S712" i="4"/>
  <c r="U712" i="4"/>
  <c r="T712" i="4"/>
  <c r="Q704" i="4"/>
  <c r="S704" i="4"/>
  <c r="U704" i="4"/>
  <c r="T704" i="4"/>
  <c r="S696" i="4"/>
  <c r="Q696" i="4"/>
  <c r="U696" i="4"/>
  <c r="T696" i="4"/>
  <c r="Q688" i="4"/>
  <c r="S688" i="4"/>
  <c r="U688" i="4"/>
  <c r="T688" i="4"/>
  <c r="Q680" i="4"/>
  <c r="S680" i="4"/>
  <c r="U680" i="4"/>
  <c r="T680" i="4"/>
  <c r="Q672" i="4"/>
  <c r="S672" i="4"/>
  <c r="U672" i="4"/>
  <c r="T672" i="4"/>
  <c r="Q664" i="4"/>
  <c r="S664" i="4"/>
  <c r="U664" i="4"/>
  <c r="T664" i="4"/>
  <c r="Q656" i="4"/>
  <c r="S656" i="4"/>
  <c r="T656" i="4"/>
  <c r="U656" i="4"/>
  <c r="Q648" i="4"/>
  <c r="S648" i="4"/>
  <c r="U648" i="4"/>
  <c r="T648" i="4"/>
  <c r="Q640" i="4"/>
  <c r="S640" i="4"/>
  <c r="U640" i="4"/>
  <c r="T640" i="4"/>
  <c r="Q632" i="4"/>
  <c r="S632" i="4"/>
  <c r="U632" i="4"/>
  <c r="T632" i="4"/>
  <c r="Q624" i="4"/>
  <c r="S624" i="4"/>
  <c r="U624" i="4"/>
  <c r="T624" i="4"/>
  <c r="Q616" i="4"/>
  <c r="S616" i="4"/>
  <c r="U616" i="4"/>
  <c r="T616" i="4"/>
  <c r="S608" i="4"/>
  <c r="Q608" i="4"/>
  <c r="U608" i="4"/>
  <c r="T608" i="4"/>
  <c r="Q600" i="4"/>
  <c r="S600" i="4"/>
  <c r="U600" i="4"/>
  <c r="T600" i="4"/>
  <c r="Q592" i="4"/>
  <c r="S592" i="4"/>
  <c r="T592" i="4"/>
  <c r="U592" i="4"/>
  <c r="Q584" i="4"/>
  <c r="S584" i="4"/>
  <c r="U584" i="4"/>
  <c r="T584" i="4"/>
  <c r="Q576" i="4"/>
  <c r="S576" i="4"/>
  <c r="U576" i="4"/>
  <c r="T576" i="4"/>
  <c r="Q568" i="4"/>
  <c r="S568" i="4"/>
  <c r="U568" i="4"/>
  <c r="T568" i="4"/>
  <c r="Q560" i="4"/>
  <c r="S560" i="4"/>
  <c r="U560" i="4"/>
  <c r="T560" i="4"/>
  <c r="Q552" i="4"/>
  <c r="S552" i="4"/>
  <c r="U552" i="4"/>
  <c r="T552" i="4"/>
  <c r="Q544" i="4"/>
  <c r="S544" i="4"/>
  <c r="U544" i="4"/>
  <c r="T544" i="4"/>
  <c r="Q536" i="4"/>
  <c r="S536" i="4"/>
  <c r="U536" i="4"/>
  <c r="T536" i="4"/>
  <c r="Q528" i="4"/>
  <c r="S528" i="4"/>
  <c r="T528" i="4"/>
  <c r="Q520" i="4"/>
  <c r="S520" i="4"/>
  <c r="U520" i="4"/>
  <c r="T520" i="4"/>
  <c r="Q512" i="4"/>
  <c r="S512" i="4"/>
  <c r="U512" i="4"/>
  <c r="T512" i="4"/>
  <c r="S504" i="4"/>
  <c r="Q504" i="4"/>
  <c r="U504" i="4"/>
  <c r="T504" i="4"/>
  <c r="S496" i="4"/>
  <c r="U496" i="4"/>
  <c r="Q496" i="4"/>
  <c r="T496" i="4"/>
  <c r="Q488" i="4"/>
  <c r="S488" i="4"/>
  <c r="U488" i="4"/>
  <c r="T488" i="4"/>
  <c r="Q480" i="4"/>
  <c r="S480" i="4"/>
  <c r="U480" i="4"/>
  <c r="T480" i="4"/>
  <c r="Q472" i="4"/>
  <c r="S472" i="4"/>
  <c r="U472" i="4"/>
  <c r="T472" i="4"/>
  <c r="Q464" i="4"/>
  <c r="S464" i="4"/>
  <c r="U464" i="4"/>
  <c r="T464" i="4"/>
  <c r="Q456" i="4"/>
  <c r="S456" i="4"/>
  <c r="U456" i="4"/>
  <c r="T456" i="4"/>
  <c r="Q448" i="4"/>
  <c r="S448" i="4"/>
  <c r="U448" i="4"/>
  <c r="T448" i="4"/>
  <c r="Q440" i="4"/>
  <c r="S440" i="4"/>
  <c r="U440" i="4"/>
  <c r="T440" i="4"/>
  <c r="Q432" i="4"/>
  <c r="S432" i="4"/>
  <c r="U432" i="4"/>
  <c r="T432" i="4"/>
  <c r="Q424" i="4"/>
  <c r="S424" i="4"/>
  <c r="U424" i="4"/>
  <c r="T424" i="4"/>
  <c r="Q416" i="4"/>
  <c r="S416" i="4"/>
  <c r="U416" i="4"/>
  <c r="T416" i="4"/>
  <c r="Q408" i="4"/>
  <c r="S408" i="4"/>
  <c r="U408" i="4"/>
  <c r="T408" i="4"/>
  <c r="T1138" i="4"/>
  <c r="T1117" i="4"/>
  <c r="T1094" i="4"/>
  <c r="T1074" i="4"/>
  <c r="T1053" i="4"/>
  <c r="T1030" i="4"/>
  <c r="T1010" i="4"/>
  <c r="T989" i="4"/>
  <c r="T966" i="4"/>
  <c r="T946" i="4"/>
  <c r="T925" i="4"/>
  <c r="T902" i="4"/>
  <c r="T882" i="4"/>
  <c r="T861" i="4"/>
  <c r="T838" i="4"/>
  <c r="T818" i="4"/>
  <c r="T797" i="4"/>
  <c r="T774" i="4"/>
  <c r="T754" i="4"/>
  <c r="T733" i="4"/>
  <c r="T710" i="4"/>
  <c r="T690" i="4"/>
  <c r="T669" i="4"/>
  <c r="T646" i="4"/>
  <c r="T626" i="4"/>
  <c r="T582" i="4"/>
  <c r="T562" i="4"/>
  <c r="T518" i="4"/>
  <c r="T498" i="4"/>
  <c r="T454" i="4"/>
  <c r="T434" i="4"/>
  <c r="T386" i="4"/>
  <c r="T313" i="4"/>
  <c r="T286" i="4"/>
  <c r="T194" i="4"/>
  <c r="T126" i="4"/>
  <c r="U1071" i="4"/>
  <c r="U959" i="4"/>
  <c r="U819" i="4"/>
  <c r="U699" i="4"/>
  <c r="S1077" i="4"/>
  <c r="S601" i="4"/>
  <c r="Q400" i="4"/>
  <c r="S400" i="4"/>
  <c r="U400" i="4"/>
  <c r="Q392" i="4"/>
  <c r="S392" i="4"/>
  <c r="U392" i="4"/>
  <c r="Q384" i="4"/>
  <c r="S384" i="4"/>
  <c r="U384" i="4"/>
  <c r="S376" i="4"/>
  <c r="Q376" i="4"/>
  <c r="U376" i="4"/>
  <c r="Q368" i="4"/>
  <c r="S368" i="4"/>
  <c r="U368" i="4"/>
  <c r="Q360" i="4"/>
  <c r="S360" i="4"/>
  <c r="U360" i="4"/>
  <c r="Q352" i="4"/>
  <c r="S352" i="4"/>
  <c r="U352" i="4"/>
  <c r="Q344" i="4"/>
  <c r="S344" i="4"/>
  <c r="U344" i="4"/>
  <c r="Q336" i="4"/>
  <c r="S336" i="4"/>
  <c r="U336" i="4"/>
  <c r="Q328" i="4"/>
  <c r="S328" i="4"/>
  <c r="U328" i="4"/>
  <c r="Q320" i="4"/>
  <c r="S320" i="4"/>
  <c r="U320" i="4"/>
  <c r="Q312" i="4"/>
  <c r="S312" i="4"/>
  <c r="U312" i="4"/>
  <c r="Q304" i="4"/>
  <c r="S304" i="4"/>
  <c r="U304" i="4"/>
  <c r="S296" i="4"/>
  <c r="Q296" i="4"/>
  <c r="U296" i="4"/>
  <c r="Q288" i="4"/>
  <c r="S288" i="4"/>
  <c r="U288" i="4"/>
  <c r="Q280" i="4"/>
  <c r="S280" i="4"/>
  <c r="U280" i="4"/>
  <c r="Q272" i="4"/>
  <c r="S272" i="4"/>
  <c r="U272" i="4"/>
  <c r="Q264" i="4"/>
  <c r="S264" i="4"/>
  <c r="U264" i="4"/>
  <c r="Q256" i="4"/>
  <c r="S256" i="4"/>
  <c r="U256" i="4"/>
  <c r="T256" i="4"/>
  <c r="Q248" i="4"/>
  <c r="S248" i="4"/>
  <c r="U248" i="4"/>
  <c r="Q240" i="4"/>
  <c r="S240" i="4"/>
  <c r="U240" i="4"/>
  <c r="S232" i="4"/>
  <c r="Q232" i="4"/>
  <c r="U232" i="4"/>
  <c r="Q224" i="4"/>
  <c r="S224" i="4"/>
  <c r="U224" i="4"/>
  <c r="T224" i="4"/>
  <c r="Q216" i="4"/>
  <c r="S216" i="4"/>
  <c r="U216" i="4"/>
  <c r="T216" i="4"/>
  <c r="Q208" i="4"/>
  <c r="S208" i="4"/>
  <c r="U208" i="4"/>
  <c r="T208" i="4"/>
  <c r="Q200" i="4"/>
  <c r="S200" i="4"/>
  <c r="U200" i="4"/>
  <c r="T200" i="4"/>
  <c r="S192" i="4"/>
  <c r="Q192" i="4"/>
  <c r="U192" i="4"/>
  <c r="T192" i="4"/>
  <c r="Q184" i="4"/>
  <c r="S184" i="4"/>
  <c r="U184" i="4"/>
  <c r="T184" i="4"/>
  <c r="Q176" i="4"/>
  <c r="S176" i="4"/>
  <c r="U176" i="4"/>
  <c r="T176" i="4"/>
  <c r="Q168" i="4"/>
  <c r="S168" i="4"/>
  <c r="U168" i="4"/>
  <c r="T168" i="4"/>
  <c r="Q160" i="4"/>
  <c r="S160" i="4"/>
  <c r="U160" i="4"/>
  <c r="T160" i="4"/>
  <c r="Q152" i="4"/>
  <c r="S152" i="4"/>
  <c r="U152" i="4"/>
  <c r="T152" i="4"/>
  <c r="Q144" i="4"/>
  <c r="S144" i="4"/>
  <c r="T144" i="4"/>
  <c r="U144" i="4"/>
  <c r="Q136" i="4"/>
  <c r="S136" i="4"/>
  <c r="U136" i="4"/>
  <c r="T136" i="4"/>
  <c r="S128" i="4"/>
  <c r="Q128" i="4"/>
  <c r="U128" i="4"/>
  <c r="T128" i="4"/>
  <c r="Q120" i="4"/>
  <c r="S120" i="4"/>
  <c r="T120" i="4"/>
  <c r="U120" i="4"/>
  <c r="Q112" i="4"/>
  <c r="S112" i="4"/>
  <c r="T112" i="4"/>
  <c r="Q104" i="4"/>
  <c r="S104" i="4"/>
  <c r="U104" i="4"/>
  <c r="T104" i="4"/>
  <c r="Q96" i="4"/>
  <c r="S96" i="4"/>
  <c r="U96" i="4"/>
  <c r="T96" i="4"/>
  <c r="Q88" i="4"/>
  <c r="S88" i="4"/>
  <c r="T88" i="4"/>
  <c r="U88" i="4"/>
  <c r="Q80" i="4"/>
  <c r="S80" i="4"/>
  <c r="U80" i="4"/>
  <c r="T80" i="4"/>
  <c r="Q72" i="4"/>
  <c r="S72" i="4"/>
  <c r="U72" i="4"/>
  <c r="T72" i="4"/>
  <c r="Q64" i="4"/>
  <c r="S64" i="4"/>
  <c r="U64" i="4"/>
  <c r="T64" i="4"/>
  <c r="Q56" i="4"/>
  <c r="S56" i="4"/>
  <c r="T56" i="4"/>
  <c r="U56" i="4"/>
  <c r="Q48" i="4"/>
  <c r="S48" i="4"/>
  <c r="U48" i="4"/>
  <c r="T48" i="4"/>
  <c r="Q40" i="4"/>
  <c r="S40" i="4"/>
  <c r="U40" i="4"/>
  <c r="T40" i="4"/>
  <c r="Q32" i="4"/>
  <c r="U32" i="4" s="1"/>
  <c r="S32" i="4"/>
  <c r="T32" i="4"/>
  <c r="T572" i="4"/>
  <c r="T532" i="4"/>
  <c r="T508" i="4"/>
  <c r="T452" i="4"/>
  <c r="T384" i="4"/>
  <c r="T320" i="4"/>
  <c r="T248" i="4"/>
  <c r="T197" i="4"/>
  <c r="U112" i="4"/>
  <c r="Q399" i="4"/>
  <c r="S399" i="4"/>
  <c r="U399" i="4"/>
  <c r="T399" i="4"/>
  <c r="Q391" i="4"/>
  <c r="T391" i="4"/>
  <c r="S391" i="4"/>
  <c r="U391" i="4"/>
  <c r="Q383" i="4"/>
  <c r="U383" i="4"/>
  <c r="S383" i="4"/>
  <c r="T383" i="4"/>
  <c r="Q375" i="4"/>
  <c r="S375" i="4"/>
  <c r="T375" i="4"/>
  <c r="Q367" i="4"/>
  <c r="S367" i="4"/>
  <c r="T367" i="4"/>
  <c r="U367" i="4"/>
  <c r="Q359" i="4"/>
  <c r="S359" i="4"/>
  <c r="U359" i="4"/>
  <c r="T359" i="4"/>
  <c r="Q351" i="4"/>
  <c r="S351" i="4"/>
  <c r="T351" i="4"/>
  <c r="Q343" i="4"/>
  <c r="U343" i="4"/>
  <c r="S343" i="4"/>
  <c r="T343" i="4"/>
  <c r="Q335" i="4"/>
  <c r="S335" i="4"/>
  <c r="U335" i="4"/>
  <c r="T335" i="4"/>
  <c r="Q327" i="4"/>
  <c r="S327" i="4"/>
  <c r="U327" i="4"/>
  <c r="T327" i="4"/>
  <c r="Q319" i="4"/>
  <c r="S319" i="4"/>
  <c r="U319" i="4"/>
  <c r="T319" i="4"/>
  <c r="Q311" i="4"/>
  <c r="S311" i="4"/>
  <c r="T311" i="4"/>
  <c r="U311" i="4"/>
  <c r="Q303" i="4"/>
  <c r="T303" i="4"/>
  <c r="S303" i="4"/>
  <c r="Q295" i="4"/>
  <c r="S295" i="4"/>
  <c r="T295" i="4"/>
  <c r="U295" i="4"/>
  <c r="Q287" i="4"/>
  <c r="S287" i="4"/>
  <c r="T287" i="4"/>
  <c r="U287" i="4"/>
  <c r="Q279" i="4"/>
  <c r="S279" i="4"/>
  <c r="U279" i="4"/>
  <c r="T279" i="4"/>
  <c r="Q271" i="4"/>
  <c r="S271" i="4"/>
  <c r="T271" i="4"/>
  <c r="U271" i="4"/>
  <c r="Q263" i="4"/>
  <c r="T263" i="4"/>
  <c r="S263" i="4"/>
  <c r="U263" i="4"/>
  <c r="Q255" i="4"/>
  <c r="S255" i="4"/>
  <c r="T255" i="4"/>
  <c r="U255" i="4"/>
  <c r="Q247" i="4"/>
  <c r="S247" i="4"/>
  <c r="T247" i="4"/>
  <c r="Q239" i="4"/>
  <c r="S239" i="4"/>
  <c r="T239" i="4"/>
  <c r="U239" i="4"/>
  <c r="Q231" i="4"/>
  <c r="S231" i="4"/>
  <c r="T231" i="4"/>
  <c r="U231" i="4"/>
  <c r="Q223" i="4"/>
  <c r="S223" i="4"/>
  <c r="T223" i="4"/>
  <c r="Q215" i="4"/>
  <c r="U215" i="4"/>
  <c r="T215" i="4"/>
  <c r="S215" i="4"/>
  <c r="Q207" i="4"/>
  <c r="S207" i="4"/>
  <c r="T207" i="4"/>
  <c r="U207" i="4"/>
  <c r="Q199" i="4"/>
  <c r="T199" i="4"/>
  <c r="S199" i="4"/>
  <c r="U199" i="4"/>
  <c r="Q191" i="4"/>
  <c r="S191" i="4"/>
  <c r="T191" i="4"/>
  <c r="U191" i="4"/>
  <c r="Q183" i="4"/>
  <c r="S183" i="4"/>
  <c r="T183" i="4"/>
  <c r="U183" i="4"/>
  <c r="Q175" i="4"/>
  <c r="S175" i="4"/>
  <c r="T175" i="4"/>
  <c r="Q167" i="4"/>
  <c r="S167" i="4"/>
  <c r="T167" i="4"/>
  <c r="U167" i="4"/>
  <c r="Q159" i="4"/>
  <c r="S159" i="4"/>
  <c r="T159" i="4"/>
  <c r="U159" i="4"/>
  <c r="Q151" i="4"/>
  <c r="U151" i="4"/>
  <c r="T151" i="4"/>
  <c r="S151" i="4"/>
  <c r="Q143" i="4"/>
  <c r="S143" i="4"/>
  <c r="T143" i="4"/>
  <c r="Q135" i="4"/>
  <c r="T135" i="4"/>
  <c r="U135" i="4"/>
  <c r="Q127" i="4"/>
  <c r="S127" i="4"/>
  <c r="T127" i="4"/>
  <c r="U127" i="4"/>
  <c r="Q119" i="4"/>
  <c r="S119" i="4"/>
  <c r="U119" i="4"/>
  <c r="T119" i="4"/>
  <c r="Q111" i="4"/>
  <c r="T111" i="4"/>
  <c r="S111" i="4"/>
  <c r="U111" i="4"/>
  <c r="Q103" i="4"/>
  <c r="S103" i="4"/>
  <c r="T103" i="4"/>
  <c r="U103" i="4"/>
  <c r="Q95" i="4"/>
  <c r="S95" i="4"/>
  <c r="T95" i="4"/>
  <c r="U95" i="4"/>
  <c r="Q87" i="4"/>
  <c r="U87" i="4"/>
  <c r="S87" i="4"/>
  <c r="T87" i="4"/>
  <c r="Q79" i="4"/>
  <c r="S79" i="4"/>
  <c r="T79" i="4"/>
  <c r="Q71" i="4"/>
  <c r="T71" i="4"/>
  <c r="S71" i="4"/>
  <c r="Q63" i="4"/>
  <c r="S63" i="4"/>
  <c r="U63" i="4"/>
  <c r="T63" i="4"/>
  <c r="Q55" i="4"/>
  <c r="S55" i="4"/>
  <c r="U55" i="4"/>
  <c r="T55" i="4"/>
  <c r="Q47" i="4"/>
  <c r="S47" i="4"/>
  <c r="U47" i="4"/>
  <c r="T47" i="4"/>
  <c r="Q39" i="4"/>
  <c r="S39" i="4"/>
  <c r="T39" i="4"/>
  <c r="Q31" i="4"/>
  <c r="U31" i="4" s="1"/>
  <c r="S31" i="4"/>
  <c r="T31" i="4"/>
  <c r="T635" i="4"/>
  <c r="T571" i="4"/>
  <c r="T392" i="4"/>
  <c r="T328" i="4"/>
  <c r="T288" i="4"/>
  <c r="T196" i="4"/>
  <c r="U325" i="4"/>
  <c r="Q637" i="4"/>
  <c r="S637" i="4"/>
  <c r="U637" i="4"/>
  <c r="Q629" i="4"/>
  <c r="S629" i="4"/>
  <c r="U629" i="4"/>
  <c r="Q621" i="4"/>
  <c r="S621" i="4"/>
  <c r="U621" i="4"/>
  <c r="Q613" i="4"/>
  <c r="S613" i="4"/>
  <c r="Q605" i="4"/>
  <c r="S605" i="4"/>
  <c r="U605" i="4"/>
  <c r="Q597" i="4"/>
  <c r="S597" i="4"/>
  <c r="U597" i="4"/>
  <c r="Q589" i="4"/>
  <c r="S589" i="4"/>
  <c r="U589" i="4"/>
  <c r="Q581" i="4"/>
  <c r="S581" i="4"/>
  <c r="U581" i="4"/>
  <c r="Q573" i="4"/>
  <c r="S573" i="4"/>
  <c r="U573" i="4"/>
  <c r="Q565" i="4"/>
  <c r="S565" i="4"/>
  <c r="U565" i="4"/>
  <c r="Q557" i="4"/>
  <c r="S557" i="4"/>
  <c r="U557" i="4"/>
  <c r="Q549" i="4"/>
  <c r="S549" i="4"/>
  <c r="Q541" i="4"/>
  <c r="S541" i="4"/>
  <c r="U541" i="4"/>
  <c r="Q533" i="4"/>
  <c r="S533" i="4"/>
  <c r="U533" i="4"/>
  <c r="Q525" i="4"/>
  <c r="S525" i="4"/>
  <c r="U525" i="4"/>
  <c r="Q517" i="4"/>
  <c r="S517" i="4"/>
  <c r="U517" i="4"/>
  <c r="Q509" i="4"/>
  <c r="U509" i="4"/>
  <c r="S509" i="4"/>
  <c r="Q501" i="4"/>
  <c r="S501" i="4"/>
  <c r="U501" i="4"/>
  <c r="Q493" i="4"/>
  <c r="S493" i="4"/>
  <c r="U493" i="4"/>
  <c r="Q485" i="4"/>
  <c r="S485" i="4"/>
  <c r="U485" i="4"/>
  <c r="Q477" i="4"/>
  <c r="S477" i="4"/>
  <c r="Q469" i="4"/>
  <c r="S469" i="4"/>
  <c r="U469" i="4"/>
  <c r="Q461" i="4"/>
  <c r="S461" i="4"/>
  <c r="U461" i="4"/>
  <c r="Q453" i="4"/>
  <c r="S453" i="4"/>
  <c r="Q445" i="4"/>
  <c r="U445" i="4"/>
  <c r="S445" i="4"/>
  <c r="Q437" i="4"/>
  <c r="S437" i="4"/>
  <c r="U437" i="4"/>
  <c r="Q429" i="4"/>
  <c r="S429" i="4"/>
  <c r="U429" i="4"/>
  <c r="Q421" i="4"/>
  <c r="S421" i="4"/>
  <c r="U421" i="4"/>
  <c r="Q413" i="4"/>
  <c r="S413" i="4"/>
  <c r="U413" i="4"/>
  <c r="Q405" i="4"/>
  <c r="S405" i="4"/>
  <c r="Q397" i="4"/>
  <c r="S397" i="4"/>
  <c r="U397" i="4"/>
  <c r="Q389" i="4"/>
  <c r="S389" i="4"/>
  <c r="U389" i="4"/>
  <c r="Q381" i="4"/>
  <c r="S381" i="4"/>
  <c r="U381" i="4"/>
  <c r="Q373" i="4"/>
  <c r="U373" i="4"/>
  <c r="S373" i="4"/>
  <c r="Q365" i="4"/>
  <c r="S365" i="4"/>
  <c r="U365" i="4"/>
  <c r="Q357" i="4"/>
  <c r="S357" i="4"/>
  <c r="U357" i="4"/>
  <c r="Q349" i="4"/>
  <c r="S349" i="4"/>
  <c r="Q341" i="4"/>
  <c r="S341" i="4"/>
  <c r="U341" i="4"/>
  <c r="Q333" i="4"/>
  <c r="S333" i="4"/>
  <c r="U333" i="4"/>
  <c r="Q317" i="4"/>
  <c r="S317" i="4"/>
  <c r="U317" i="4"/>
  <c r="Q309" i="4"/>
  <c r="U309" i="4"/>
  <c r="Q301" i="4"/>
  <c r="S301" i="4"/>
  <c r="U301" i="4"/>
  <c r="T301" i="4"/>
  <c r="Q293" i="4"/>
  <c r="S293" i="4"/>
  <c r="U293" i="4"/>
  <c r="Q285" i="4"/>
  <c r="S285" i="4"/>
  <c r="U285" i="4"/>
  <c r="Q277" i="4"/>
  <c r="S277" i="4"/>
  <c r="Q269" i="4"/>
  <c r="S269" i="4"/>
  <c r="U269" i="4"/>
  <c r="Q261" i="4"/>
  <c r="U261" i="4"/>
  <c r="S261" i="4"/>
  <c r="Q253" i="4"/>
  <c r="S253" i="4"/>
  <c r="U253" i="4"/>
  <c r="Q245" i="4"/>
  <c r="U245" i="4"/>
  <c r="S245" i="4"/>
  <c r="Q237" i="4"/>
  <c r="S237" i="4"/>
  <c r="T237" i="4"/>
  <c r="U237" i="4"/>
  <c r="Q229" i="4"/>
  <c r="S229" i="4"/>
  <c r="U229" i="4"/>
  <c r="Q221" i="4"/>
  <c r="S221" i="4"/>
  <c r="Q213" i="4"/>
  <c r="S213" i="4"/>
  <c r="T213" i="4"/>
  <c r="U213" i="4"/>
  <c r="Q205" i="4"/>
  <c r="S205" i="4"/>
  <c r="U205" i="4"/>
  <c r="Q197" i="4"/>
  <c r="S197" i="4"/>
  <c r="Q189" i="4"/>
  <c r="S189" i="4"/>
  <c r="U189" i="4"/>
  <c r="T189" i="4"/>
  <c r="Q181" i="4"/>
  <c r="S181" i="4"/>
  <c r="U181" i="4"/>
  <c r="T181" i="4"/>
  <c r="Q173" i="4"/>
  <c r="S173" i="4"/>
  <c r="U173" i="4"/>
  <c r="Q165" i="4"/>
  <c r="S165" i="4"/>
  <c r="U165" i="4"/>
  <c r="Q157" i="4"/>
  <c r="U157" i="4"/>
  <c r="S157" i="4"/>
  <c r="T157" i="4"/>
  <c r="Q149" i="4"/>
  <c r="U149" i="4"/>
  <c r="S149" i="4"/>
  <c r="Q141" i="4"/>
  <c r="S141" i="4"/>
  <c r="U141" i="4"/>
  <c r="Q133" i="4"/>
  <c r="U133" i="4"/>
  <c r="S133" i="4"/>
  <c r="T133" i="4"/>
  <c r="Q125" i="4"/>
  <c r="S125" i="4"/>
  <c r="U125" i="4"/>
  <c r="T125" i="4"/>
  <c r="Q117" i="4"/>
  <c r="U117" i="4"/>
  <c r="S117" i="4"/>
  <c r="T117" i="4"/>
  <c r="Q109" i="4"/>
  <c r="U109" i="4"/>
  <c r="S109" i="4"/>
  <c r="Q101" i="4"/>
  <c r="S101" i="4"/>
  <c r="U101" i="4"/>
  <c r="Q93" i="4"/>
  <c r="U93" i="4"/>
  <c r="S93" i="4"/>
  <c r="T93" i="4"/>
  <c r="Q85" i="4"/>
  <c r="U85" i="4"/>
  <c r="S85" i="4"/>
  <c r="Q77" i="4"/>
  <c r="S77" i="4"/>
  <c r="U77" i="4"/>
  <c r="T77" i="4"/>
  <c r="Q69" i="4"/>
  <c r="U69" i="4"/>
  <c r="S69" i="4"/>
  <c r="T69" i="4"/>
  <c r="Q61" i="4"/>
  <c r="S61" i="4"/>
  <c r="U61" i="4"/>
  <c r="T61" i="4"/>
  <c r="Q53" i="4"/>
  <c r="U53" i="4"/>
  <c r="S53" i="4"/>
  <c r="T53" i="4"/>
  <c r="Q45" i="4"/>
  <c r="S45" i="4"/>
  <c r="U45" i="4"/>
  <c r="T45" i="4"/>
  <c r="Q37" i="4"/>
  <c r="S37" i="4"/>
  <c r="U37" i="4"/>
  <c r="T37" i="4"/>
  <c r="Q29" i="4"/>
  <c r="U29" i="4" s="1"/>
  <c r="S29" i="4"/>
  <c r="T29" i="4"/>
  <c r="T389" i="4"/>
  <c r="T344" i="4"/>
  <c r="T325" i="4"/>
  <c r="T296" i="4"/>
  <c r="T285" i="4"/>
  <c r="T264" i="4"/>
  <c r="T253" i="4"/>
  <c r="T221" i="4"/>
  <c r="T165" i="4"/>
  <c r="U303" i="4"/>
  <c r="U247" i="4"/>
  <c r="U79" i="4"/>
  <c r="Q628" i="4"/>
  <c r="S628" i="4"/>
  <c r="U628" i="4"/>
  <c r="Q620" i="4"/>
  <c r="S620" i="4"/>
  <c r="U620" i="4"/>
  <c r="Q612" i="4"/>
  <c r="S612" i="4"/>
  <c r="U612" i="4"/>
  <c r="Q604" i="4"/>
  <c r="S604" i="4"/>
  <c r="U604" i="4"/>
  <c r="S596" i="4"/>
  <c r="Q596" i="4"/>
  <c r="Q588" i="4"/>
  <c r="S588" i="4"/>
  <c r="U588" i="4"/>
  <c r="Q580" i="4"/>
  <c r="S580" i="4"/>
  <c r="U580" i="4"/>
  <c r="Q572" i="4"/>
  <c r="S572" i="4"/>
  <c r="Q564" i="4"/>
  <c r="S564" i="4"/>
  <c r="U564" i="4"/>
  <c r="Q556" i="4"/>
  <c r="S556" i="4"/>
  <c r="U556" i="4"/>
  <c r="Q548" i="4"/>
  <c r="S548" i="4"/>
  <c r="U548" i="4"/>
  <c r="Q540" i="4"/>
  <c r="S540" i="4"/>
  <c r="U540" i="4"/>
  <c r="Q532" i="4"/>
  <c r="S532" i="4"/>
  <c r="Q524" i="4"/>
  <c r="S524" i="4"/>
  <c r="U524" i="4"/>
  <c r="Q516" i="4"/>
  <c r="S516" i="4"/>
  <c r="U516" i="4"/>
  <c r="Q508" i="4"/>
  <c r="S508" i="4"/>
  <c r="Q500" i="4"/>
  <c r="S500" i="4"/>
  <c r="U500" i="4"/>
  <c r="Q492" i="4"/>
  <c r="S492" i="4"/>
  <c r="U492" i="4"/>
  <c r="Q484" i="4"/>
  <c r="S484" i="4"/>
  <c r="U484" i="4"/>
  <c r="Q476" i="4"/>
  <c r="S476" i="4"/>
  <c r="U476" i="4"/>
  <c r="Q468" i="4"/>
  <c r="S468" i="4"/>
  <c r="U468" i="4"/>
  <c r="Q460" i="4"/>
  <c r="S460" i="4"/>
  <c r="U460" i="4"/>
  <c r="Q452" i="4"/>
  <c r="S452" i="4"/>
  <c r="Q444" i="4"/>
  <c r="S444" i="4"/>
  <c r="U444" i="4"/>
  <c r="Q436" i="4"/>
  <c r="S436" i="4"/>
  <c r="U436" i="4"/>
  <c r="Q428" i="4"/>
  <c r="S428" i="4"/>
  <c r="Q420" i="4"/>
  <c r="S420" i="4"/>
  <c r="U420" i="4"/>
  <c r="Q412" i="4"/>
  <c r="S412" i="4"/>
  <c r="U412" i="4"/>
  <c r="Q404" i="4"/>
  <c r="S404" i="4"/>
  <c r="U404" i="4"/>
  <c r="Q396" i="4"/>
  <c r="S396" i="4"/>
  <c r="U396" i="4"/>
  <c r="Q388" i="4"/>
  <c r="S388" i="4"/>
  <c r="U388" i="4"/>
  <c r="Q380" i="4"/>
  <c r="S380" i="4"/>
  <c r="Q372" i="4"/>
  <c r="S372" i="4"/>
  <c r="U372" i="4"/>
  <c r="Q364" i="4"/>
  <c r="S364" i="4"/>
  <c r="U364" i="4"/>
  <c r="Q356" i="4"/>
  <c r="S356" i="4"/>
  <c r="U356" i="4"/>
  <c r="Q348" i="4"/>
  <c r="S348" i="4"/>
  <c r="U348" i="4"/>
  <c r="Q340" i="4"/>
  <c r="S340" i="4"/>
  <c r="U340" i="4"/>
  <c r="Q332" i="4"/>
  <c r="S332" i="4"/>
  <c r="U332" i="4"/>
  <c r="Q324" i="4"/>
  <c r="S324" i="4"/>
  <c r="Q316" i="4"/>
  <c r="S316" i="4"/>
  <c r="U316" i="4"/>
  <c r="Q308" i="4"/>
  <c r="S308" i="4"/>
  <c r="U308" i="4"/>
  <c r="Q300" i="4"/>
  <c r="S300" i="4"/>
  <c r="S292" i="4"/>
  <c r="Q292" i="4"/>
  <c r="U292" i="4"/>
  <c r="T292" i="4"/>
  <c r="Q284" i="4"/>
  <c r="S284" i="4"/>
  <c r="U284" i="4"/>
  <c r="Q276" i="4"/>
  <c r="S276" i="4"/>
  <c r="U276" i="4"/>
  <c r="Q268" i="4"/>
  <c r="S268" i="4"/>
  <c r="U268" i="4"/>
  <c r="Q260" i="4"/>
  <c r="S260" i="4"/>
  <c r="U260" i="4"/>
  <c r="Q252" i="4"/>
  <c r="S252" i="4"/>
  <c r="Q244" i="4"/>
  <c r="S244" i="4"/>
  <c r="U244" i="4"/>
  <c r="Q236" i="4"/>
  <c r="S236" i="4"/>
  <c r="U236" i="4"/>
  <c r="Q228" i="4"/>
  <c r="S228" i="4"/>
  <c r="U228" i="4"/>
  <c r="T228" i="4"/>
  <c r="Q220" i="4"/>
  <c r="S220" i="4"/>
  <c r="U220" i="4"/>
  <c r="Q212" i="4"/>
  <c r="S212" i="4"/>
  <c r="U212" i="4"/>
  <c r="Q204" i="4"/>
  <c r="S204" i="4"/>
  <c r="U204" i="4"/>
  <c r="Q196" i="4"/>
  <c r="S196" i="4"/>
  <c r="Q188" i="4"/>
  <c r="S188" i="4"/>
  <c r="U188" i="4"/>
  <c r="Q180" i="4"/>
  <c r="S180" i="4"/>
  <c r="U180" i="4"/>
  <c r="Q172" i="4"/>
  <c r="S172" i="4"/>
  <c r="T172" i="4"/>
  <c r="Q164" i="4"/>
  <c r="S164" i="4"/>
  <c r="U164" i="4"/>
  <c r="T164" i="4"/>
  <c r="Q156" i="4"/>
  <c r="S156" i="4"/>
  <c r="U156" i="4"/>
  <c r="T156" i="4"/>
  <c r="Q148" i="4"/>
  <c r="S148" i="4"/>
  <c r="U148" i="4"/>
  <c r="Q140" i="4"/>
  <c r="S140" i="4"/>
  <c r="Q132" i="4"/>
  <c r="S132" i="4"/>
  <c r="U132" i="4"/>
  <c r="T132" i="4"/>
  <c r="S124" i="4"/>
  <c r="Q124" i="4"/>
  <c r="U124" i="4"/>
  <c r="Q116" i="4"/>
  <c r="S116" i="4"/>
  <c r="U116" i="4"/>
  <c r="Q108" i="4"/>
  <c r="S108" i="4"/>
  <c r="T108" i="4"/>
  <c r="Q100" i="4"/>
  <c r="S100" i="4"/>
  <c r="U100" i="4"/>
  <c r="T100" i="4"/>
  <c r="Q92" i="4"/>
  <c r="S92" i="4"/>
  <c r="U92" i="4"/>
  <c r="T92" i="4"/>
  <c r="Q84" i="4"/>
  <c r="S84" i="4"/>
  <c r="U84" i="4"/>
  <c r="Q76" i="4"/>
  <c r="S76" i="4"/>
  <c r="U76" i="4"/>
  <c r="Q68" i="4"/>
  <c r="S68" i="4"/>
  <c r="U68" i="4"/>
  <c r="T68" i="4"/>
  <c r="Q60" i="4"/>
  <c r="S60" i="4"/>
  <c r="U60" i="4"/>
  <c r="Q52" i="4"/>
  <c r="S52" i="4"/>
  <c r="U52" i="4"/>
  <c r="T52" i="4"/>
  <c r="S44" i="4"/>
  <c r="Q44" i="4"/>
  <c r="Q36" i="4"/>
  <c r="S36" i="4"/>
  <c r="T36" i="4"/>
  <c r="Q28" i="4"/>
  <c r="U28" i="4" s="1"/>
  <c r="S28" i="4"/>
  <c r="T397" i="4"/>
  <c r="T388" i="4"/>
  <c r="T352" i="4"/>
  <c r="T333" i="4"/>
  <c r="T324" i="4"/>
  <c r="T284" i="4"/>
  <c r="T252" i="4"/>
  <c r="T232" i="4"/>
  <c r="T220" i="4"/>
  <c r="T205" i="4"/>
  <c r="T188" i="4"/>
  <c r="T85" i="4"/>
  <c r="U375" i="4"/>
  <c r="U300" i="4"/>
  <c r="S325" i="4"/>
  <c r="Q651" i="4"/>
  <c r="S651" i="4"/>
  <c r="U651" i="4"/>
  <c r="Q643" i="4"/>
  <c r="S643" i="4"/>
  <c r="U643" i="4"/>
  <c r="Q635" i="4"/>
  <c r="S635" i="4"/>
  <c r="Q627" i="4"/>
  <c r="S627" i="4"/>
  <c r="U627" i="4"/>
  <c r="Q619" i="4"/>
  <c r="U619" i="4"/>
  <c r="S619" i="4"/>
  <c r="Q611" i="4"/>
  <c r="S611" i="4"/>
  <c r="U611" i="4"/>
  <c r="Q603" i="4"/>
  <c r="S603" i="4"/>
  <c r="U603" i="4"/>
  <c r="Q595" i="4"/>
  <c r="S595" i="4"/>
  <c r="U595" i="4"/>
  <c r="Q587" i="4"/>
  <c r="S587" i="4"/>
  <c r="U587" i="4"/>
  <c r="Q579" i="4"/>
  <c r="S579" i="4"/>
  <c r="U579" i="4"/>
  <c r="Q571" i="4"/>
  <c r="S571" i="4"/>
  <c r="Q563" i="4"/>
  <c r="S563" i="4"/>
  <c r="U563" i="4"/>
  <c r="Q555" i="4"/>
  <c r="S555" i="4"/>
  <c r="U555" i="4"/>
  <c r="Q547" i="4"/>
  <c r="S547" i="4"/>
  <c r="U547" i="4"/>
  <c r="Q539" i="4"/>
  <c r="S539" i="4"/>
  <c r="U539" i="4"/>
  <c r="Q531" i="4"/>
  <c r="S531" i="4"/>
  <c r="U531" i="4"/>
  <c r="Q523" i="4"/>
  <c r="S523" i="4"/>
  <c r="U523" i="4"/>
  <c r="Q515" i="4"/>
  <c r="S515" i="4"/>
  <c r="U515" i="4"/>
  <c r="Q507" i="4"/>
  <c r="S507" i="4"/>
  <c r="U507" i="4"/>
  <c r="Q499" i="4"/>
  <c r="S499" i="4"/>
  <c r="U499" i="4"/>
  <c r="Q491" i="4"/>
  <c r="S491" i="4"/>
  <c r="U491" i="4"/>
  <c r="Q483" i="4"/>
  <c r="S483" i="4"/>
  <c r="Q475" i="4"/>
  <c r="S475" i="4"/>
  <c r="U475" i="4"/>
  <c r="Q467" i="4"/>
  <c r="S467" i="4"/>
  <c r="U467" i="4"/>
  <c r="Q459" i="4"/>
  <c r="S459" i="4"/>
  <c r="U459" i="4"/>
  <c r="Q451" i="4"/>
  <c r="S451" i="4"/>
  <c r="U451" i="4"/>
  <c r="Q443" i="4"/>
  <c r="S443" i="4"/>
  <c r="U443" i="4"/>
  <c r="Q435" i="4"/>
  <c r="S435" i="4"/>
  <c r="U435" i="4"/>
  <c r="Q427" i="4"/>
  <c r="S427" i="4"/>
  <c r="Q419" i="4"/>
  <c r="S419" i="4"/>
  <c r="U419" i="4"/>
  <c r="Q411" i="4"/>
  <c r="S411" i="4"/>
  <c r="U411" i="4"/>
  <c r="Q403" i="4"/>
  <c r="S403" i="4"/>
  <c r="Q395" i="4"/>
  <c r="S395" i="4"/>
  <c r="U395" i="4"/>
  <c r="Q387" i="4"/>
  <c r="S387" i="4"/>
  <c r="U387" i="4"/>
  <c r="Q379" i="4"/>
  <c r="S379" i="4"/>
  <c r="U379" i="4"/>
  <c r="Q371" i="4"/>
  <c r="S371" i="4"/>
  <c r="U371" i="4"/>
  <c r="Q363" i="4"/>
  <c r="S363" i="4"/>
  <c r="U363" i="4"/>
  <c r="Q355" i="4"/>
  <c r="S355" i="4"/>
  <c r="Q347" i="4"/>
  <c r="S347" i="4"/>
  <c r="U347" i="4"/>
  <c r="Q339" i="4"/>
  <c r="S339" i="4"/>
  <c r="U339" i="4"/>
  <c r="Q331" i="4"/>
  <c r="S331" i="4"/>
  <c r="U331" i="4"/>
  <c r="Q323" i="4"/>
  <c r="S323" i="4"/>
  <c r="U323" i="4"/>
  <c r="Q315" i="4"/>
  <c r="S315" i="4"/>
  <c r="U315" i="4"/>
  <c r="Q307" i="4"/>
  <c r="S307" i="4"/>
  <c r="U307" i="4"/>
  <c r="Q299" i="4"/>
  <c r="S299" i="4"/>
  <c r="Q291" i="4"/>
  <c r="S291" i="4"/>
  <c r="U291" i="4"/>
  <c r="Q283" i="4"/>
  <c r="S283" i="4"/>
  <c r="U283" i="4"/>
  <c r="T283" i="4"/>
  <c r="Q275" i="4"/>
  <c r="S275" i="4"/>
  <c r="S267" i="4"/>
  <c r="Q267" i="4"/>
  <c r="U267" i="4"/>
  <c r="Q259" i="4"/>
  <c r="S259" i="4"/>
  <c r="U259" i="4"/>
  <c r="Q251" i="4"/>
  <c r="S251" i="4"/>
  <c r="U251" i="4"/>
  <c r="Q243" i="4"/>
  <c r="S243" i="4"/>
  <c r="U243" i="4"/>
  <c r="Q235" i="4"/>
  <c r="S235" i="4"/>
  <c r="U235" i="4"/>
  <c r="S227" i="4"/>
  <c r="Q227" i="4"/>
  <c r="Q219" i="4"/>
  <c r="S219" i="4"/>
  <c r="U219" i="4"/>
  <c r="Q211" i="4"/>
  <c r="S211" i="4"/>
  <c r="U211" i="4"/>
  <c r="Q203" i="4"/>
  <c r="S203" i="4"/>
  <c r="U203" i="4"/>
  <c r="T203" i="4"/>
  <c r="Q195" i="4"/>
  <c r="S195" i="4"/>
  <c r="U195" i="4"/>
  <c r="T195" i="4"/>
  <c r="Q187" i="4"/>
  <c r="S187" i="4"/>
  <c r="U187" i="4"/>
  <c r="Q179" i="4"/>
  <c r="S179" i="4"/>
  <c r="U179" i="4"/>
  <c r="Q171" i="4"/>
  <c r="S171" i="4"/>
  <c r="T171" i="4"/>
  <c r="Q163" i="4"/>
  <c r="S163" i="4"/>
  <c r="U163" i="4"/>
  <c r="Q155" i="4"/>
  <c r="S155" i="4"/>
  <c r="U155" i="4"/>
  <c r="Q147" i="4"/>
  <c r="S147" i="4"/>
  <c r="U147" i="4"/>
  <c r="T147" i="4"/>
  <c r="Q139" i="4"/>
  <c r="S139" i="4"/>
  <c r="U139" i="4"/>
  <c r="T139" i="4"/>
  <c r="Q131" i="4"/>
  <c r="S131" i="4"/>
  <c r="U131" i="4"/>
  <c r="T131" i="4"/>
  <c r="Q123" i="4"/>
  <c r="S123" i="4"/>
  <c r="U123" i="4"/>
  <c r="Q115" i="4"/>
  <c r="S115" i="4"/>
  <c r="U115" i="4"/>
  <c r="Q107" i="4"/>
  <c r="S107" i="4"/>
  <c r="U107" i="4"/>
  <c r="T107" i="4"/>
  <c r="S99" i="4"/>
  <c r="Q99" i="4"/>
  <c r="U99" i="4"/>
  <c r="Q91" i="4"/>
  <c r="S91" i="4"/>
  <c r="U91" i="4"/>
  <c r="Q83" i="4"/>
  <c r="S83" i="4"/>
  <c r="U83" i="4"/>
  <c r="T83" i="4"/>
  <c r="Q75" i="4"/>
  <c r="S75" i="4"/>
  <c r="U75" i="4"/>
  <c r="T75" i="4"/>
  <c r="Q67" i="4"/>
  <c r="S67" i="4"/>
  <c r="U67" i="4"/>
  <c r="T67" i="4"/>
  <c r="Q59" i="4"/>
  <c r="S59" i="4"/>
  <c r="U59" i="4"/>
  <c r="Q51" i="4"/>
  <c r="S51" i="4"/>
  <c r="U51" i="4"/>
  <c r="T51" i="4"/>
  <c r="Q43" i="4"/>
  <c r="U43" i="4"/>
  <c r="S43" i="4"/>
  <c r="Q35" i="4"/>
  <c r="S35" i="4"/>
  <c r="U35" i="4"/>
  <c r="T35" i="4"/>
  <c r="T405" i="4"/>
  <c r="T396" i="4"/>
  <c r="T387" i="4"/>
  <c r="T360" i="4"/>
  <c r="T341" i="4"/>
  <c r="T332" i="4"/>
  <c r="T323" i="4"/>
  <c r="T304" i="4"/>
  <c r="T293" i="4"/>
  <c r="T272" i="4"/>
  <c r="T261" i="4"/>
  <c r="T251" i="4"/>
  <c r="T219" i="4"/>
  <c r="T204" i="4"/>
  <c r="T187" i="4"/>
  <c r="T109" i="4"/>
  <c r="T84" i="4"/>
  <c r="T44" i="4"/>
  <c r="U428" i="4"/>
  <c r="U355" i="4"/>
  <c r="U299" i="4"/>
  <c r="U223" i="4"/>
  <c r="U71" i="4"/>
  <c r="S309" i="4"/>
  <c r="V33" i="4" l="1"/>
  <c r="V32" i="4"/>
  <c r="V30" i="4"/>
  <c r="V31" i="4"/>
  <c r="T22" i="4"/>
  <c r="V22" i="4" s="1"/>
  <c r="V28" i="4"/>
  <c r="V29" i="4"/>
  <c r="S27" i="4"/>
  <c r="Q13" i="4"/>
  <c r="U13" i="4" s="1"/>
  <c r="T27" i="4"/>
  <c r="V27" i="4" s="1"/>
  <c r="T25" i="4"/>
  <c r="V25" i="4" s="1"/>
  <c r="S25" i="4"/>
  <c r="T18" i="4"/>
  <c r="V18" i="4" s="1"/>
  <c r="T13" i="4"/>
  <c r="T12" i="4"/>
  <c r="V12" i="4" s="1"/>
  <c r="S22" i="4"/>
  <c r="T20" i="4"/>
  <c r="V20" i="4" s="1"/>
  <c r="T17" i="4"/>
  <c r="V17" i="4" s="1"/>
  <c r="S20" i="4"/>
  <c r="S17" i="4"/>
  <c r="S16" i="4"/>
  <c r="S12" i="4"/>
  <c r="Q14" i="4"/>
  <c r="U14" i="4" s="1"/>
  <c r="P13" i="4"/>
  <c r="X13" i="4"/>
  <c r="P27" i="4"/>
  <c r="X27" i="4"/>
  <c r="P18" i="4"/>
  <c r="X18" i="4"/>
  <c r="P23" i="4"/>
  <c r="X23" i="4"/>
  <c r="S18" i="4"/>
  <c r="P16" i="4"/>
  <c r="X16" i="4"/>
  <c r="Q16" i="4"/>
  <c r="U16" i="4" s="1"/>
  <c r="V16" i="4" s="1"/>
  <c r="T21" i="4"/>
  <c r="P21" i="4"/>
  <c r="X21" i="4"/>
  <c r="P24" i="4"/>
  <c r="X24" i="4"/>
  <c r="T19" i="4"/>
  <c r="P19" i="4"/>
  <c r="X19" i="4"/>
  <c r="T15" i="4"/>
  <c r="U24" i="4"/>
  <c r="P17" i="4"/>
  <c r="X17" i="4"/>
  <c r="P22" i="4"/>
  <c r="X22" i="4"/>
  <c r="P26" i="4"/>
  <c r="X26" i="4"/>
  <c r="T24" i="4"/>
  <c r="T26" i="4"/>
  <c r="V26" i="4" s="1"/>
  <c r="P20" i="4"/>
  <c r="X20" i="4"/>
  <c r="T14" i="4"/>
  <c r="P14" i="4"/>
  <c r="X14" i="4"/>
  <c r="P15" i="4"/>
  <c r="X15" i="4"/>
  <c r="Q15" i="4"/>
  <c r="U15" i="4" s="1"/>
  <c r="S24" i="4"/>
  <c r="S26" i="4"/>
  <c r="P25" i="4"/>
  <c r="X25" i="4"/>
  <c r="P12" i="4"/>
  <c r="X12" i="4"/>
  <c r="Q23" i="4"/>
  <c r="U23" i="4" s="1"/>
  <c r="S19" i="4"/>
  <c r="Q19" i="4"/>
  <c r="U19" i="4" s="1"/>
  <c r="S21" i="4"/>
  <c r="T23" i="4"/>
  <c r="Q21" i="4"/>
  <c r="U21" i="4" s="1"/>
  <c r="S23" i="4"/>
  <c r="V13" i="4" l="1"/>
  <c r="V21" i="4"/>
  <c r="V24" i="4"/>
  <c r="V23" i="4"/>
  <c r="V14" i="4"/>
  <c r="V15" i="4"/>
  <c r="V19" i="4"/>
</calcChain>
</file>

<file path=xl/sharedStrings.xml><?xml version="1.0" encoding="utf-8"?>
<sst xmlns="http://schemas.openxmlformats.org/spreadsheetml/2006/main" count="346" uniqueCount="163">
  <si>
    <t>Version</t>
  </si>
  <si>
    <t>The sheet is protected by default to avoid unwanted changes in autocalculated field. There is no password. Please unlock for extending the table and don't forget to relock again.</t>
  </si>
  <si>
    <t>Yellow fields provide explanation per row</t>
  </si>
  <si>
    <t>Name of root folder in event logs</t>
  </si>
  <si>
    <t>Subfolder name</t>
  </si>
  <si>
    <t>2nd subfolder name</t>
  </si>
  <si>
    <t>Name of logfile.
Please avoid special characters!
-"(" and ")" can be used-</t>
  </si>
  <si>
    <t>Name of Security Group (Computer target group) for the subscription in the specified channel</t>
  </si>
  <si>
    <t>The maximum size for the eventlog file.</t>
  </si>
  <si>
    <t>The XPath query for the subscription from the event log.
Paste your results from eventlog viewer here… :-)</t>
  </si>
  <si>
    <t>The full name of the eventlog channel</t>
  </si>
  <si>
    <t>Short symbol name for the event log channel.
The short names are defined in the sheet "Lists"</t>
  </si>
  <si>
    <t>The Eventlog where to query the data. This value is extracted from the "Query"-string.</t>
  </si>
  <si>
    <t>The folder where the logfile should be placed in</t>
  </si>
  <si>
    <t>The name of the logfile</t>
  </si>
  <si>
    <t>The full qualified path name</t>
  </si>
  <si>
    <t>Logmode for evtx file</t>
  </si>
  <si>
    <t>ChannelNameFolder1</t>
  </si>
  <si>
    <t>ChannelNameFolder2</t>
  </si>
  <si>
    <t>ChannelNameFolder3</t>
  </si>
  <si>
    <t>ChannelNameLogFile</t>
  </si>
  <si>
    <t>Check</t>
  </si>
  <si>
    <t>TargetGroup</t>
  </si>
  <si>
    <t>MaxEventLogSize</t>
  </si>
  <si>
    <t>Safekeeping of logs</t>
  </si>
  <si>
    <t>Query</t>
  </si>
  <si>
    <t>ProviderName</t>
  </si>
  <si>
    <t>ChannelName</t>
  </si>
  <si>
    <t>ChannelSymbol</t>
  </si>
  <si>
    <t>QueryPath</t>
  </si>
  <si>
    <t>ProviderSymbol</t>
  </si>
  <si>
    <t>LogFolder</t>
  </si>
  <si>
    <t>LogFile</t>
  </si>
  <si>
    <t>LogFullName</t>
  </si>
  <si>
    <t>LogMode</t>
  </si>
  <si>
    <t>Domain Controllers</t>
  </si>
  <si>
    <t>Security Account Logon</t>
  </si>
  <si>
    <t>Successful</t>
  </si>
  <si>
    <t>2GB</t>
  </si>
  <si>
    <t>AutoBackup - archive log files</t>
  </si>
  <si>
    <t>Failure</t>
  </si>
  <si>
    <t>1GB</t>
  </si>
  <si>
    <t>Security Directory Services</t>
  </si>
  <si>
    <t>LDAP Weak Binds</t>
  </si>
  <si>
    <t>Security Logon</t>
  </si>
  <si>
    <t>Security Object Management</t>
  </si>
  <si>
    <t>Computer</t>
  </si>
  <si>
    <t>Distribution Group</t>
  </si>
  <si>
    <t>Group Policy</t>
  </si>
  <si>
    <t>Other Account Management</t>
  </si>
  <si>
    <t>Security Group</t>
  </si>
  <si>
    <t>User Management</t>
  </si>
  <si>
    <t>User Special Events</t>
  </si>
  <si>
    <t>512MB</t>
  </si>
  <si>
    <t>Application</t>
  </si>
  <si>
    <t>Informations</t>
  </si>
  <si>
    <t>Unspecific</t>
  </si>
  <si>
    <t>Overwrite as needed</t>
  </si>
  <si>
    <t>Warnings</t>
  </si>
  <si>
    <t>Errors</t>
  </si>
  <si>
    <t>Criticals</t>
  </si>
  <si>
    <t>System</t>
  </si>
  <si>
    <t>Services</t>
  </si>
  <si>
    <t>Domain Computers</t>
  </si>
  <si>
    <t>5GB</t>
  </si>
  <si>
    <t>KIOSK Computer</t>
  </si>
  <si>
    <t>Priviledged Admin Workstation</t>
  </si>
  <si>
    <t>Name of the root folder in the windows eventlogs under "application and services"</t>
  </si>
  <si>
    <t>Name of the folder on the second level in the windows eventlogs under "application and services"</t>
  </si>
  <si>
    <t>Name of the folder on the third level in the windows eventlogs under "application and services"</t>
  </si>
  <si>
    <t>The path for all logfiles</t>
  </si>
  <si>
    <t>All possible file sizes. Please ensure the format has to be powershell compliant!</t>
  </si>
  <si>
    <t>retention method for logfiles</t>
  </si>
  <si>
    <t>ChannelNameFolder1_ShortName</t>
  </si>
  <si>
    <t>ChannelNameFolder2_ShortName</t>
  </si>
  <si>
    <t>ChannelNameFolder3_ShortName</t>
  </si>
  <si>
    <t>LogRootPath</t>
  </si>
  <si>
    <t>Available LogFileSizes</t>
  </si>
  <si>
    <t>LogModeDisplayname</t>
  </si>
  <si>
    <t>D:\EventLogs</t>
  </si>
  <si>
    <t>DC</t>
  </si>
  <si>
    <t>SECAL</t>
  </si>
  <si>
    <t>SUCC</t>
  </si>
  <si>
    <t>AutoBackup</t>
  </si>
  <si>
    <t>DCOMP</t>
  </si>
  <si>
    <t>SECDS</t>
  </si>
  <si>
    <t>FAIL</t>
  </si>
  <si>
    <t>Circular</t>
  </si>
  <si>
    <t>SRV</t>
  </si>
  <si>
    <t>SECLL</t>
  </si>
  <si>
    <t>LDAP</t>
  </si>
  <si>
    <t>Do not overwrite</t>
  </si>
  <si>
    <t>Retain</t>
  </si>
  <si>
    <t>SECAM</t>
  </si>
  <si>
    <t>COMP</t>
  </si>
  <si>
    <t>10GB</t>
  </si>
  <si>
    <t>KIOSK</t>
  </si>
  <si>
    <t>APP</t>
  </si>
  <si>
    <t>GMDIST</t>
  </si>
  <si>
    <t>PAW</t>
  </si>
  <si>
    <t>SYS</t>
  </si>
  <si>
    <t>GPO</t>
  </si>
  <si>
    <t>128MB</t>
  </si>
  <si>
    <t>SVC</t>
  </si>
  <si>
    <t>OAM</t>
  </si>
  <si>
    <t>GMSEC</t>
  </si>
  <si>
    <t>UM</t>
  </si>
  <si>
    <t>UMEVT</t>
  </si>
  <si>
    <t>INFO</t>
  </si>
  <si>
    <t>WARN</t>
  </si>
  <si>
    <t>ERROR</t>
  </si>
  <si>
    <t>CRITIC</t>
  </si>
  <si>
    <t>UNSPEC</t>
  </si>
  <si>
    <t>OK</t>
  </si>
  <si>
    <t>CLT</t>
  </si>
  <si>
    <t>Clients</t>
  </si>
  <si>
    <t>Member Servers</t>
  </si>
  <si>
    <t>&lt;Select Path="Application"&gt;*[System[(Level=4 or Level=0 or Level=5)]]&lt;/Select&gt;</t>
  </si>
  <si>
    <t>&lt;Select Path="Application"&gt;*[System[(Level=3)]]&lt;/Select&gt;</t>
  </si>
  <si>
    <t>&lt;Select Path="Application"&gt;*[System[(Level=2)]]&lt;/Select&gt;</t>
  </si>
  <si>
    <t>&lt;Select Path="Application"&gt;*[System[(Level=1 )]]&lt;/Select&gt;</t>
  </si>
  <si>
    <t>&lt;Select Path="System"&gt;*[System[(Level=4 or Level=0)]]&lt;/Select&gt;</t>
  </si>
  <si>
    <t>&lt;Select Path="System"&gt;*[System[(Level=3)]]&lt;/Select&gt;</t>
  </si>
  <si>
    <t>&lt;Select Path="System"&gt;*[System[(Level=2)]]&lt;/Select&gt;</t>
  </si>
  <si>
    <t>&lt;Select Path="System"&gt;*[System[(Level=1 )]]&lt;/Select&gt;</t>
  </si>
  <si>
    <t>LDAP Tracing</t>
  </si>
  <si>
    <t>LDAPTRC</t>
  </si>
  <si>
    <t>Amount of Logfiles in Provider</t>
  </si>
  <si>
    <t>The Name of the data provider managing the eventlogchannels.</t>
  </si>
  <si>
    <t>PLEASE BE AWARE! A provider only can handle a maximum of 8 eventlogs!</t>
  </si>
  <si>
    <t>Error indicator</t>
  </si>
  <si>
    <t>Enabled</t>
  </si>
  <si>
    <t>How to store events in Logfiles</t>
  </si>
  <si>
    <t>indicates inital status of Windows EventForwarding Subscription</t>
  </si>
  <si>
    <t>True</t>
  </si>
  <si>
    <t>False</t>
  </si>
  <si>
    <t>On/Off Status</t>
  </si>
  <si>
    <t>Columns related to Custom EventLogFiles/-Channels</t>
  </si>
  <si>
    <t>Columns related to Windows EventForwarding Subscriptions</t>
  </si>
  <si>
    <t>Autocalculated Columns - Do not touch ;)</t>
  </si>
  <si>
    <t>2.0</t>
  </si>
  <si>
    <t>Please ensure, that there is a provider for earch channel you add in this sheet and that every provider has a maximum of 8 channels. Put your eyes on the "Check"-Field to be sure, that you custom EventLog is correctly build.</t>
  </si>
  <si>
    <t xml:space="preserve">In this sheet, all the custom EventLog channels are managed, together with the queries for the Windows EventLogCollector Subscription. Horizontal and vertical groupings are for convinience to save some visual/working space. </t>
  </si>
  <si>
    <t>The sheet "Lists" contains the definitions for dropdowns and can be customized. Especially the list for the field "TargetGroup" should be customized to fit your personal needs</t>
  </si>
  <si>
    <t>Custom EventLog Channel list with WEC subscription query</t>
  </si>
  <si>
    <t>Lists for Dropdowns</t>
  </si>
  <si>
    <t>Gesamtergebnis</t>
  </si>
  <si>
    <t>QueryCheck</t>
  </si>
  <si>
    <t>Defined</t>
  </si>
  <si>
    <t>Statuscheck for Groups</t>
  </si>
  <si>
    <t>Amount of defined entries</t>
  </si>
  <si>
    <t>Status Check</t>
  </si>
  <si>
    <t>ChannelNameFolder1 with Query-Status</t>
  </si>
  <si>
    <t>Names of security groups in the environment.
Check the name of the groups within your environment! Probably, custom groups have to be created first to create Windows Event Forwarding Subscriptions.</t>
  </si>
  <si>
    <t>WEF-TargetGroup_Domaincontroller</t>
  </si>
  <si>
    <t>WEF-TargetGroup_MemberServer</t>
  </si>
  <si>
    <t>WEF-TargetGroup_Client</t>
  </si>
  <si>
    <t>WEF-TargetGroup_PAW</t>
  </si>
  <si>
    <t>C:\EventLogs</t>
  </si>
  <si>
    <t>LogFolderRoot</t>
  </si>
  <si>
    <t>ChannelEnabled</t>
  </si>
  <si>
    <t>SubscriptionEnabled</t>
  </si>
  <si>
    <t>Empty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</si>
</sst>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9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  <bgColor theme="4"/>
      </patternFill>
    </fill>
    <fill>
      <patternFill patternType="solid">
        <fgColor rgb="FF7F7F7F"/>
        <bgColor indexed="64"/>
      </patternFill>
    </fill>
    <fill>
      <patternFill patternType="solid">
        <fgColor theme="0" tint="-0.24994659260841701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 style="thin">
        <color theme="4"/>
      </right>
      <top/>
      <bottom/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/>
      <top style="thin">
        <color rgb="FFB2B2B2"/>
      </top>
      <bottom/>
      <diagonal/>
    </border>
    <border>
      <left/>
      <right style="thin">
        <color rgb="FFB2B2B2"/>
      </right>
      <top style="thin">
        <color rgb="FFB2B2B2"/>
      </top>
      <bottom/>
      <diagonal/>
    </border>
    <border>
      <left/>
      <right/>
      <top/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5" fillId="8" borderId="8" applyNumberForma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3">
    <xf numFmtId="0" fontId="0" fillId="0" borderId="0" xfId="0"/>
    <xf numFmtId="0" fontId="0" fillId="0" borderId="10" xfId="0" applyFont="1" applyBorder="1"/>
    <xf numFmtId="0" fontId="0" fillId="0" borderId="0" xfId="0" applyFont="1" applyBorder="1"/>
    <xf numFmtId="0" fontId="2" fillId="0" borderId="0" xfId="1"/>
    <xf numFmtId="0" fontId="0" fillId="0" borderId="0" xfId="0" applyAlignment="1">
      <alignment horizontal="center"/>
    </xf>
    <xf numFmtId="0" fontId="0" fillId="0" borderId="10" xfId="0" applyFont="1" applyBorder="1" applyProtection="1">
      <protection locked="0"/>
    </xf>
    <xf numFmtId="0" fontId="0" fillId="0" borderId="0" xfId="0" applyProtection="1">
      <protection locked="0"/>
    </xf>
    <xf numFmtId="0" fontId="0" fillId="0" borderId="0" xfId="0" applyFont="1" applyBorder="1" applyProtection="1">
      <protection locked="0"/>
    </xf>
    <xf numFmtId="0" fontId="0" fillId="0" borderId="0" xfId="0" applyProtection="1"/>
    <xf numFmtId="0" fontId="0" fillId="0" borderId="0" xfId="0" applyFont="1"/>
    <xf numFmtId="0" fontId="0" fillId="0" borderId="0" xfId="0" applyFont="1" applyBorder="1" applyProtection="1"/>
    <xf numFmtId="0" fontId="2" fillId="0" borderId="0" xfId="1" applyProtection="1"/>
    <xf numFmtId="0" fontId="0" fillId="0" borderId="0" xfId="0" applyAlignment="1" applyProtection="1">
      <alignment horizontal="center"/>
    </xf>
    <xf numFmtId="0" fontId="15" fillId="0" borderId="10" xfId="16" applyBorder="1" applyProtection="1">
      <protection locked="0"/>
    </xf>
    <xf numFmtId="0" fontId="0" fillId="0" borderId="0" xfId="0" pivotButton="1"/>
    <xf numFmtId="0" fontId="0" fillId="0" borderId="0" xfId="0" applyNumberFormat="1"/>
    <xf numFmtId="0" fontId="13" fillId="33" borderId="12" xfId="0" applyFont="1" applyFill="1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NumberFormat="1" applyFont="1" applyProtection="1"/>
    <xf numFmtId="0" fontId="0" fillId="0" borderId="10" xfId="0" applyNumberFormat="1" applyFont="1" applyBorder="1" applyProtection="1"/>
    <xf numFmtId="0" fontId="0" fillId="0" borderId="0" xfId="0" applyNumberFormat="1" applyFont="1"/>
    <xf numFmtId="0" fontId="15" fillId="0" borderId="0" xfId="16" applyBorder="1" applyProtection="1">
      <protection locked="0"/>
    </xf>
    <xf numFmtId="0" fontId="0" fillId="0" borderId="0" xfId="0" applyNumberFormat="1" applyFont="1" applyBorder="1" applyProtection="1"/>
    <xf numFmtId="0" fontId="15" fillId="0" borderId="0" xfId="16" applyProtection="1"/>
    <xf numFmtId="0" fontId="15" fillId="8" borderId="8" xfId="15" applyAlignment="1">
      <alignment vertical="top" wrapText="1"/>
    </xf>
    <xf numFmtId="0" fontId="0" fillId="0" borderId="0" xfId="0" applyFont="1" applyBorder="1" applyAlignment="1" applyProtection="1">
      <alignment horizontal="center"/>
    </xf>
    <xf numFmtId="0" fontId="0" fillId="0" borderId="0" xfId="0" applyNumberFormat="1" applyFont="1" applyAlignment="1" applyProtection="1">
      <alignment horizontal="center"/>
    </xf>
    <xf numFmtId="0" fontId="0" fillId="0" borderId="0" xfId="0" applyAlignment="1">
      <alignment vertical="top"/>
    </xf>
    <xf numFmtId="0" fontId="0" fillId="0" borderId="11" xfId="0" applyFont="1" applyBorder="1" applyProtection="1">
      <protection locked="0"/>
    </xf>
    <xf numFmtId="0" fontId="15" fillId="8" borderId="15" xfId="15" applyBorder="1" applyAlignment="1">
      <alignment vertical="top" wrapText="1"/>
    </xf>
    <xf numFmtId="0" fontId="0" fillId="0" borderId="0" xfId="0" applyFill="1" applyBorder="1" applyProtection="1">
      <protection locked="0"/>
    </xf>
    <xf numFmtId="0" fontId="0" fillId="0" borderId="0" xfId="0" applyFill="1" applyProtection="1">
      <protection locked="0"/>
    </xf>
    <xf numFmtId="0" fontId="15" fillId="0" borderId="0" xfId="16" quotePrefix="1" applyProtection="1"/>
    <xf numFmtId="0" fontId="13" fillId="33" borderId="0" xfId="0" applyFont="1" applyFill="1" applyAlignment="1">
      <alignment horizontal="left" vertical="top" wrapText="1"/>
    </xf>
    <xf numFmtId="0" fontId="0" fillId="0" borderId="0" xfId="0" applyFont="1" applyFill="1" applyProtection="1">
      <protection locked="0"/>
    </xf>
    <xf numFmtId="0" fontId="15" fillId="0" borderId="10" xfId="16" applyBorder="1" applyAlignment="1" applyProtection="1">
      <protection locked="0"/>
    </xf>
    <xf numFmtId="0" fontId="0" fillId="0" borderId="0" xfId="0" applyAlignment="1">
      <alignment vertical="top" wrapText="1"/>
    </xf>
    <xf numFmtId="0" fontId="13" fillId="33" borderId="0" xfId="0" applyFont="1" applyFill="1" applyAlignment="1" applyProtection="1">
      <alignment vertical="top" wrapText="1"/>
    </xf>
    <xf numFmtId="0" fontId="13" fillId="33" borderId="0" xfId="0" applyFont="1" applyFill="1" applyBorder="1" applyAlignment="1" applyProtection="1">
      <alignment vertical="top" wrapText="1"/>
    </xf>
    <xf numFmtId="0" fontId="13" fillId="33" borderId="0" xfId="0" applyFont="1" applyFill="1" applyAlignment="1" applyProtection="1">
      <alignment horizontal="center" vertical="top" wrapText="1"/>
    </xf>
    <xf numFmtId="0" fontId="0" fillId="0" borderId="0" xfId="0" applyAlignment="1" applyProtection="1">
      <alignment vertical="top" wrapText="1"/>
    </xf>
    <xf numFmtId="0" fontId="0" fillId="0" borderId="0" xfId="0" applyAlignment="1" applyProtection="1">
      <alignment horizontal="center"/>
      <protection locked="0"/>
    </xf>
    <xf numFmtId="0" fontId="13" fillId="33" borderId="0" xfId="0" applyFont="1" applyFill="1" applyBorder="1" applyAlignment="1">
      <alignment horizontal="left" vertical="top" wrapText="1"/>
    </xf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19" fillId="0" borderId="0" xfId="0" applyFont="1" applyAlignment="1">
      <alignment horizontal="center"/>
    </xf>
    <xf numFmtId="0" fontId="19" fillId="0" borderId="0" xfId="0" applyNumberFormat="1" applyFont="1" applyAlignment="1">
      <alignment horizontal="center"/>
    </xf>
    <xf numFmtId="0" fontId="0" fillId="0" borderId="0" xfId="0" applyFill="1" applyBorder="1" applyProtection="1"/>
    <xf numFmtId="0" fontId="0" fillId="0" borderId="0" xfId="0" applyFill="1" applyProtection="1"/>
    <xf numFmtId="0" fontId="0" fillId="34" borderId="10" xfId="0" applyNumberFormat="1" applyFont="1" applyFill="1" applyBorder="1" applyProtection="1"/>
    <xf numFmtId="0" fontId="0" fillId="34" borderId="0" xfId="0" applyNumberFormat="1" applyFont="1" applyFill="1" applyBorder="1" applyProtection="1"/>
    <xf numFmtId="0" fontId="0" fillId="34" borderId="0" xfId="0" applyFont="1" applyFill="1" applyBorder="1" applyProtection="1"/>
    <xf numFmtId="0" fontId="0" fillId="34" borderId="10" xfId="0" applyFont="1" applyFill="1" applyBorder="1" applyProtection="1"/>
    <xf numFmtId="0" fontId="17" fillId="13" borderId="18" xfId="22" applyBorder="1" applyAlignment="1" applyProtection="1">
      <alignment horizontal="left"/>
    </xf>
    <xf numFmtId="0" fontId="17" fillId="9" borderId="18" xfId="18" applyBorder="1" applyAlignment="1" applyProtection="1">
      <alignment horizontal="left"/>
    </xf>
    <xf numFmtId="0" fontId="17" fillId="35" borderId="18" xfId="26" applyFill="1" applyBorder="1" applyAlignment="1" applyProtection="1">
      <alignment horizontal="left"/>
    </xf>
    <xf numFmtId="0" fontId="15" fillId="8" borderId="13" xfId="15" applyBorder="1" applyAlignment="1" applyProtection="1">
      <alignment horizontal="left"/>
    </xf>
    <xf numFmtId="0" fontId="15" fillId="8" borderId="19" xfId="15" applyBorder="1" applyAlignment="1" applyProtection="1">
      <alignment horizontal="left"/>
    </xf>
    <xf numFmtId="0" fontId="15" fillId="8" borderId="14" xfId="15" applyBorder="1" applyAlignment="1" applyProtection="1">
      <alignment horizontal="left"/>
    </xf>
    <xf numFmtId="0" fontId="15" fillId="8" borderId="13" xfId="15" applyBorder="1" applyAlignment="1">
      <alignment horizontal="left" vertical="top" wrapText="1"/>
    </xf>
    <xf numFmtId="0" fontId="15" fillId="8" borderId="14" xfId="15" applyBorder="1" applyAlignment="1">
      <alignment horizontal="left" vertical="top" wrapText="1"/>
    </xf>
    <xf numFmtId="0" fontId="15" fillId="8" borderId="16" xfId="15" applyBorder="1" applyAlignment="1">
      <alignment horizontal="left" vertical="top" wrapText="1"/>
    </xf>
    <xf numFmtId="0" fontId="15" fillId="8" borderId="17" xfId="15" applyBorder="1" applyAlignment="1">
      <alignment horizontal="left" vertical="top" wrapText="1"/>
    </xf>
  </cellXfs>
  <cellStyles count="42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62">
    <dxf>
      <font>
        <color theme="9"/>
      </font>
    </dxf>
    <dxf>
      <alignment horizontal="center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  <protection locked="0" hidden="0"/>
    </dxf>
    <dxf>
      <border outline="0">
        <left style="thin">
          <color theme="4"/>
        </left>
        <right style="thin">
          <color theme="4"/>
        </right>
        <top style="thin">
          <color rgb="FFB2B2B2"/>
        </top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left" vertical="top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left" vertical="top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protection locked="0" hidden="0"/>
    </dxf>
    <dxf>
      <border outline="0">
        <top style="thin">
          <color rgb="FFB2B2B2"/>
        </top>
      </border>
    </dxf>
    <dxf>
      <fill>
        <patternFill patternType="none">
          <fgColor indexed="64"/>
          <bgColor indexed="65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left" vertical="top" textRotation="0" wrapText="1" indent="0" justifyLastLine="0" shrinkToFit="0" readingOrder="0"/>
    </dxf>
    <dxf>
      <protection locked="0" hidden="0"/>
    </dxf>
    <dxf>
      <protection locked="0" hidden="0"/>
    </dxf>
    <dxf>
      <protection locked="0" hidden="0"/>
    </dxf>
    <dxf>
      <alignment horizontal="left" vertical="top" textRotation="0" wrapText="1" indent="0" justifyLastLine="0" shrinkToFit="0" readingOrder="0"/>
    </dxf>
    <dxf>
      <protection locked="0" hidden="0"/>
    </dxf>
    <dxf>
      <protection locked="0" hidden="0"/>
    </dxf>
    <dxf>
      <protection locked="0" hidden="0"/>
    </dxf>
    <dxf>
      <alignment horizontal="left" vertical="top" textRotation="0" wrapText="1" indent="0" justifyLastLine="0" shrinkToFit="0" readingOrder="0"/>
    </dxf>
    <dxf>
      <protection locked="0" hidden="0"/>
    </dxf>
    <dxf>
      <protection locked="0" hidden="0"/>
    </dxf>
    <dxf>
      <protection locked="0" hidden="0"/>
    </dxf>
    <dxf>
      <alignment horizontal="left" vertical="top" textRotation="0" wrapText="1" indent="0" justifyLastLine="0" shrinkToFit="0" readingOrder="0"/>
    </dxf>
    <dxf>
      <protection locked="0" hidden="0"/>
    </dxf>
    <dxf>
      <border outline="0">
        <top style="thin">
          <color theme="4"/>
        </top>
      </border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7F7F7F"/>
        </patternFill>
      </fill>
      <border diagonalUp="0" diagonalDown="0" outline="0">
        <left/>
        <right/>
        <top style="thin">
          <color theme="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protection locked="1" hidden="0"/>
    </dxf>
    <dxf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border diagonalUp="0" diagonalDown="0">
        <left/>
        <right/>
        <top style="thin">
          <color theme="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protection locked="1" hidden="0"/>
    </dxf>
    <dxf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  <protection locked="0" hidden="0"/>
    </dxf>
    <dxf>
      <border outline="0">
        <top style="thin">
          <color theme="4"/>
        </top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vertical="top" textRotation="0" wrapText="1" indent="0" justifyLastLine="0" shrinkToFit="0" readingOrder="0"/>
      <protection locked="1" hidden="0"/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rgb="FFFF8181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7F7F7F"/>
      <color rgb="FFFF818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chartsheet" Target="chartsheets/sheet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[WinEventLogCustomization.xltx]View_Pivot_CheckPerGroup!PT_CheckPerGroup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/>
              <a:t>Statuscheck for Groups - Channels</a:t>
            </a:r>
            <a:r>
              <a:rPr lang="de-DE" baseline="0"/>
              <a:t> with Queries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flip="none" rotWithShape="1">
            <a:gsLst>
              <a:gs pos="0">
                <a:schemeClr val="accent6">
                  <a:lumMod val="67000"/>
                </a:schemeClr>
              </a:gs>
              <a:gs pos="48000">
                <a:schemeClr val="accent6">
                  <a:lumMod val="97000"/>
                  <a:lumOff val="3000"/>
                </a:schemeClr>
              </a:gs>
              <a:gs pos="100000">
                <a:schemeClr val="accent6">
                  <a:lumMod val="60000"/>
                  <a:lumOff val="40000"/>
                </a:schemeClr>
              </a:gs>
            </a:gsLst>
            <a:lin ang="5400000" scaled="1"/>
            <a:tileRect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4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View_Pivot_CheckPerGroup!$B$4:$B$5</c:f>
              <c:strCache>
                <c:ptCount val="1"/>
                <c:pt idx="0">
                  <c:v>OK</c:v>
                </c:pt>
              </c:strCache>
            </c:strRef>
          </c:tx>
          <c:spPr>
            <a:gradFill flip="none" rotWithShape="1">
              <a:gsLst>
                <a:gs pos="0">
                  <a:schemeClr val="accent6">
                    <a:lumMod val="67000"/>
                  </a:schemeClr>
                </a:gs>
                <a:gs pos="48000">
                  <a:schemeClr val="accent6">
                    <a:lumMod val="97000"/>
                    <a:lumOff val="3000"/>
                  </a:schemeClr>
                </a:gs>
                <a:gs pos="100000">
                  <a:schemeClr val="accent6">
                    <a:lumMod val="60000"/>
                    <a:lumOff val="40000"/>
                  </a:schemeClr>
                </a:gs>
              </a:gsLst>
              <a:lin ang="5400000" scaled="1"/>
              <a:tileRect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View_Pivot_CheckPerGroup!$A$6:$A$11</c:f>
              <c:multiLvlStrCache>
                <c:ptCount val="3"/>
                <c:lvl>
                  <c:pt idx="0">
                    <c:v>Defined</c:v>
                  </c:pt>
                  <c:pt idx="1">
                    <c:v>Defined</c:v>
                  </c:pt>
                  <c:pt idx="2">
                    <c:v>Empty</c:v>
                  </c:pt>
                </c:lvl>
                <c:lvl>
                  <c:pt idx="0">
                    <c:v>Domain Controllers</c:v>
                  </c:pt>
                  <c:pt idx="1">
                    <c:v>Domain Computers</c:v>
                  </c:pt>
                </c:lvl>
              </c:multiLvlStrCache>
            </c:multiLvlStrRef>
          </c:cat>
          <c:val>
            <c:numRef>
              <c:f>View_Pivot_CheckPerGroup!$B$6:$B$11</c:f>
              <c:numCache>
                <c:formatCode>General</c:formatCode>
                <c:ptCount val="3"/>
                <c:pt idx="0">
                  <c:v>8</c:v>
                </c:pt>
                <c:pt idx="1">
                  <c:v>8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78-41DB-AB7D-D6205714CD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03577520"/>
        <c:axId val="303576688"/>
      </c:barChart>
      <c:catAx>
        <c:axId val="303577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03576688"/>
        <c:crosses val="autoZero"/>
        <c:auto val="1"/>
        <c:lblAlgn val="ctr"/>
        <c:lblOffset val="100"/>
        <c:noMultiLvlLbl val="0"/>
      </c:catAx>
      <c:valAx>
        <c:axId val="303576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0357752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B1958A6-FE4A-447F-AD43-AFB9A8EEA852}">
  <sheetPr>
    <tabColor theme="7"/>
  </sheetPr>
  <sheetViews>
    <sheetView zoomScale="116" workbookViewId="0" zoomToFit="1"/>
  </sheetViews>
  <pageMargins left="0.7" right="0.7" top="0.78740157499999996" bottom="0.78740157499999996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3297" cy="6010603"/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3CC6CD9A-2C18-4C1A-B3FC-415B8CA044A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Andi B." refreshedDate="44766.908003009259" missingItemsLimit="0" createdVersion="7" refreshedVersion="8" minRefreshableVersion="3" recordCount="1140" xr:uid="{9F32CFB2-5A19-4D5E-9169-08FAA5596C2B}">
  <cacheSource type="worksheet">
    <worksheetSource name="T_Channel"/>
  </cacheSource>
  <cacheFields count="23">
    <cacheField name="ChannelNameFolder1" numFmtId="0">
      <sharedItems containsBlank="1" count="3">
        <s v="Domain Controllers"/>
        <s v="Domain Computers"/>
        <m/>
      </sharedItems>
    </cacheField>
    <cacheField name="ChannelNameFolder2" numFmtId="0">
      <sharedItems containsBlank="1"/>
    </cacheField>
    <cacheField name="ChannelNameFolder3" numFmtId="0">
      <sharedItems containsBlank="1"/>
    </cacheField>
    <cacheField name="ChannelNameLogFile" numFmtId="0">
      <sharedItems containsBlank="1"/>
    </cacheField>
    <cacheField name="MaxEventLogSize" numFmtId="0">
      <sharedItems containsBlank="1"/>
    </cacheField>
    <cacheField name="Safekeeping of logs" numFmtId="0">
      <sharedItems containsBlank="1"/>
    </cacheField>
    <cacheField name="LogFolderRoot" numFmtId="0">
      <sharedItems containsBlank="1"/>
    </cacheField>
    <cacheField name="ChannelEnabled" numFmtId="0">
      <sharedItems containsBlank="1"/>
    </cacheField>
    <cacheField name="Check" numFmtId="0">
      <sharedItems count="2">
        <s v="OK"/>
        <s v=""/>
      </sharedItems>
    </cacheField>
    <cacheField name="Query" numFmtId="0">
      <sharedItems containsBlank="1"/>
    </cacheField>
    <cacheField name="TargetGroup" numFmtId="0">
      <sharedItems containsBlank="1"/>
    </cacheField>
    <cacheField name="SubscriptionEnabled" numFmtId="0">
      <sharedItems containsBlank="1"/>
    </cacheField>
    <cacheField name="ProviderName" numFmtId="0">
      <sharedItems/>
    </cacheField>
    <cacheField name="Amount of Logfiles in Provider" numFmtId="0">
      <sharedItems containsMixedTypes="1" containsNumber="1" containsInteger="1" minValue="1" maxValue="8"/>
    </cacheField>
    <cacheField name="QueryCheck" numFmtId="0">
      <sharedItems count="3">
        <s v="Defined"/>
        <s v="Empty"/>
        <s v=""/>
      </sharedItems>
    </cacheField>
    <cacheField name="ChannelSymbol" numFmtId="0">
      <sharedItems/>
    </cacheField>
    <cacheField name="QueryPath" numFmtId="0">
      <sharedItems/>
    </cacheField>
    <cacheField name="ProviderSymbol" numFmtId="0">
      <sharedItems/>
    </cacheField>
    <cacheField name="LogFolder" numFmtId="0">
      <sharedItems/>
    </cacheField>
    <cacheField name="LogFile" numFmtId="0">
      <sharedItems/>
    </cacheField>
    <cacheField name="LogFullName" numFmtId="0">
      <sharedItems/>
    </cacheField>
    <cacheField name="LogMode" numFmtId="0">
      <sharedItems/>
    </cacheField>
    <cacheField name="ChannelNam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40">
  <r>
    <x v="0"/>
    <s v="Application"/>
    <s v="Criticals"/>
    <s v="Unspecific"/>
    <s v="1GB"/>
    <s v="AutoBackup - archive log files"/>
    <s v="D:\EventLogs"/>
    <s v="True"/>
    <x v="0"/>
    <s v="&lt;Select Path=&quot;Application&quot;&gt;*[System[(Level=1 )]]&lt;/Select&gt;"/>
    <s v="Domain Controllers"/>
    <s v="True"/>
    <s v="Domain Controllers-Application-Criticals"/>
    <n v="1"/>
    <x v="0"/>
    <s v="DC_APP_CRITIC_UNSPECIFIC"/>
    <s v="Application"/>
    <s v="DC_APP_CRITIC_EVENTS"/>
    <s v="D:\EventLogs\Domain Controllers\Application"/>
    <s v="DC_APP_CRITIC_UNSPECIFIC.evtx"/>
    <s v="D:\EventLogs\Domain Controllers\Application\DC_APP_CRITIC_UNSPECIFIC.evtx"/>
    <s v="AutoBackup"/>
    <s v="Domain Controllers-Application-Criticals/Unspecific"/>
  </r>
  <r>
    <x v="0"/>
    <s v="Application"/>
    <s v="Errors"/>
    <s v="Unspecific"/>
    <s v="1GB"/>
    <s v="AutoBackup - archive log files"/>
    <s v="D:\EventLogs"/>
    <s v="True"/>
    <x v="0"/>
    <s v="&lt;Select Path=&quot;Application&quot;&gt;*[System[(Level=2)]]&lt;/Select&gt;"/>
    <s v="Domain Controllers"/>
    <s v="True"/>
    <s v="Domain Controllers-Application-Errors"/>
    <n v="1"/>
    <x v="0"/>
    <s v="DC_APP_ERROR_UNSPECIFIC"/>
    <s v="Application"/>
    <s v="DC_APP_ERROR_EVENTS"/>
    <s v="D:\EventLogs\Domain Controllers\Application"/>
    <s v="DC_APP_ERROR_UNSPECIFIC.evtx"/>
    <s v="D:\EventLogs\Domain Controllers\Application\DC_APP_ERROR_UNSPECIFIC.evtx"/>
    <s v="AutoBackup"/>
    <s v="Domain Controllers-Application-Errors/Unspecific"/>
  </r>
  <r>
    <x v="0"/>
    <s v="Application"/>
    <s v="Informations"/>
    <s v="Unspecific"/>
    <s v="1GB"/>
    <s v="Overwrite as needed"/>
    <s v="D:\EventLogs"/>
    <s v="True"/>
    <x v="0"/>
    <s v="&lt;Select Path=&quot;Application&quot;&gt;*[System[(Level=4 or Level=0 or Level=5)]]&lt;/Select&gt;"/>
    <s v="Domain Controllers"/>
    <s v="True"/>
    <s v="Domain Controllers-Application-Informations"/>
    <n v="1"/>
    <x v="0"/>
    <s v="DC_APP_INFO_UNSPECIFIC"/>
    <s v="Application"/>
    <s v="DC_APP_INFO_EVENTS"/>
    <s v="D:\EventLogs\Domain Controllers\Application"/>
    <s v="DC_APP_INFO_UNSPECIFIC.evtx"/>
    <s v="D:\EventLogs\Domain Controllers\Application\DC_APP_INFO_UNSPECIFIC.evtx"/>
    <s v="Circular"/>
    <s v="Domain Controllers-Application-Informations/Unspecific"/>
  </r>
  <r>
    <x v="0"/>
    <s v="Application"/>
    <s v="Warnings"/>
    <s v="Unspecific"/>
    <s v="1GB"/>
    <s v="Overwrite as needed"/>
    <s v="D:\EventLogs"/>
    <s v="True"/>
    <x v="0"/>
    <s v="&lt;Select Path=&quot;Application&quot;&gt;*[System[(Level=3)]]&lt;/Select&gt;"/>
    <s v="Domain Controllers"/>
    <s v="True"/>
    <s v="Domain Controllers-Application-Warnings"/>
    <n v="1"/>
    <x v="0"/>
    <s v="DC_APP_WARN_UNSPECIFIC"/>
    <s v="Application"/>
    <s v="DC_APP_WARN_EVENTS"/>
    <s v="D:\EventLogs\Domain Controllers\Application"/>
    <s v="DC_APP_WARN_UNSPECIFIC.evtx"/>
    <s v="D:\EventLogs\Domain Controllers\Application\DC_APP_WARN_UNSPECIFIC.evtx"/>
    <s v="Circular"/>
    <s v="Domain Controllers-Application-Warnings/Unspecific"/>
  </r>
  <r>
    <x v="0"/>
    <s v="System"/>
    <s v="Criticals"/>
    <s v="Unspecific"/>
    <s v="1GB"/>
    <s v="AutoBackup - archive log files"/>
    <s v="D:\EventLogs"/>
    <s v="True"/>
    <x v="0"/>
    <s v="&lt;Select Path=&quot;System&quot;&gt;*[System[(Level=1 )]]&lt;/Select&gt;"/>
    <s v="Domain Controllers"/>
    <s v="True"/>
    <s v="Domain Controllers-System-Criticals"/>
    <n v="1"/>
    <x v="0"/>
    <s v="DC_SYS_CRITIC_UNSPECIFIC"/>
    <s v="System"/>
    <s v="DC_SYS_CRITIC_EVENTS"/>
    <s v="D:\EventLogs\Domain Controllers\System"/>
    <s v="DC_SYS_CRITIC_UNSPECIFIC.evtx"/>
    <s v="D:\EventLogs\Domain Controllers\System\DC_SYS_CRITIC_UNSPECIFIC.evtx"/>
    <s v="AutoBackup"/>
    <s v="Domain Controllers-System-Criticals/Unspecific"/>
  </r>
  <r>
    <x v="0"/>
    <s v="System"/>
    <s v="Errors"/>
    <s v="Unspecific"/>
    <s v="1GB"/>
    <s v="AutoBackup - archive log files"/>
    <s v="D:\EventLogs"/>
    <s v="True"/>
    <x v="0"/>
    <s v="&lt;Select Path=&quot;System&quot;&gt;*[System[(Level=2)]]&lt;/Select&gt;"/>
    <s v="Domain Controllers"/>
    <s v="True"/>
    <s v="Domain Controllers-System-Errors"/>
    <n v="1"/>
    <x v="0"/>
    <s v="DC_SYS_ERROR_UNSPECIFIC"/>
    <s v="System"/>
    <s v="DC_SYS_ERROR_EVENTS"/>
    <s v="D:\EventLogs\Domain Controllers\System"/>
    <s v="DC_SYS_ERROR_UNSPECIFIC.evtx"/>
    <s v="D:\EventLogs\Domain Controllers\System\DC_SYS_ERROR_UNSPECIFIC.evtx"/>
    <s v="AutoBackup"/>
    <s v="Domain Controllers-System-Errors/Unspecific"/>
  </r>
  <r>
    <x v="0"/>
    <s v="System"/>
    <s v="Informations"/>
    <s v="Unspecific"/>
    <s v="1GB"/>
    <s v="Overwrite as needed"/>
    <s v="D:\EventLogs"/>
    <s v="True"/>
    <x v="0"/>
    <s v="&lt;Select Path=&quot;System&quot;&gt;*[System[(Level=4 or Level=0)]]&lt;/Select&gt;"/>
    <s v="Domain Controllers"/>
    <s v="True"/>
    <s v="Domain Controllers-System-Informations"/>
    <n v="1"/>
    <x v="0"/>
    <s v="DC_SYS_INFO_UNSPECIFIC"/>
    <s v="System"/>
    <s v="DC_SYS_INFO_EVENTS"/>
    <s v="D:\EventLogs\Domain Controllers\System"/>
    <s v="DC_SYS_INFO_UNSPECIFIC.evtx"/>
    <s v="D:\EventLogs\Domain Controllers\System\DC_SYS_INFO_UNSPECIFIC.evtx"/>
    <s v="Circular"/>
    <s v="Domain Controllers-System-Informations/Unspecific"/>
  </r>
  <r>
    <x v="0"/>
    <s v="System"/>
    <s v="Warnings"/>
    <s v="Unspecific"/>
    <s v="1GB"/>
    <s v="Overwrite as needed"/>
    <s v="D:\EventLogs"/>
    <s v="True"/>
    <x v="0"/>
    <s v="&lt;Select Path=&quot;System&quot;&gt;*[System[(Level=3)]]&lt;/Select&gt;"/>
    <s v="Domain Controllers"/>
    <s v="True"/>
    <s v="Domain Controllers-System-Warnings"/>
    <n v="1"/>
    <x v="0"/>
    <s v="DC_SYS_WARN_UNSPECIFIC"/>
    <s v="System"/>
    <s v="DC_SYS_WARN_EVENTS"/>
    <s v="D:\EventLogs\Domain Controllers\System"/>
    <s v="DC_SYS_WARN_UNSPECIFIC.evtx"/>
    <s v="D:\EventLogs\Domain Controllers\System\DC_SYS_WARN_UNSPECIFIC.evtx"/>
    <s v="Circular"/>
    <s v="Domain Controllers-System-Warnings/Unspecific"/>
  </r>
  <r>
    <x v="1"/>
    <s v="Application"/>
    <s v="Criticals"/>
    <s v="Unspecific"/>
    <s v="1GB"/>
    <s v="AutoBackup - archive log files"/>
    <s v="D:\EventLogs"/>
    <s v="True"/>
    <x v="0"/>
    <s v="&lt;Select Path=&quot;Application&quot;&gt;*[System[(Level=1 )]]&lt;/Select&gt;"/>
    <s v="Domain Computers"/>
    <s v="True"/>
    <s v="Domain Computers-Application-Criticals"/>
    <n v="1"/>
    <x v="0"/>
    <s v="DCOMP_APP_CRITIC_UNSPECIFIC"/>
    <s v="Application"/>
    <s v="DCOMP_APP_CRITIC_EVENTS"/>
    <s v="D:\EventLogs\Domain Computers\Application"/>
    <s v="DCOMP_APP_CRITIC_UNSPECIFIC.evtx"/>
    <s v="D:\EventLogs\Domain Computers\Application\DCOMP_APP_CRITIC_UNSPECIFIC.evtx"/>
    <s v="AutoBackup"/>
    <s v="Domain Computers-Application-Criticals/Unspecific"/>
  </r>
  <r>
    <x v="1"/>
    <s v="Application"/>
    <s v="Errors"/>
    <s v="Unspecific"/>
    <s v="1GB"/>
    <s v="AutoBackup - archive log files"/>
    <s v="D:\EventLogs"/>
    <s v="True"/>
    <x v="0"/>
    <s v="&lt;Select Path=&quot;Application&quot;&gt;*[System[(Level=2)]]&lt;/Select&gt;"/>
    <s v="Domain Computers"/>
    <s v="True"/>
    <s v="Domain Computers-Application-Errors"/>
    <n v="1"/>
    <x v="0"/>
    <s v="DCOMP_APP_ERROR_UNSPECIFIC"/>
    <s v="Application"/>
    <s v="DCOMP_APP_ERROR_EVENTS"/>
    <s v="D:\EventLogs\Domain Computers\Application"/>
    <s v="DCOMP_APP_ERROR_UNSPECIFIC.evtx"/>
    <s v="D:\EventLogs\Domain Computers\Application\DCOMP_APP_ERROR_UNSPECIFIC.evtx"/>
    <s v="AutoBackup"/>
    <s v="Domain Computers-Application-Errors/Unspecific"/>
  </r>
  <r>
    <x v="1"/>
    <s v="Application"/>
    <s v="Informations"/>
    <s v="Unspecific"/>
    <s v="1GB"/>
    <s v="Overwrite as needed"/>
    <s v="D:\EventLogs"/>
    <s v="True"/>
    <x v="0"/>
    <s v="&lt;Select Path=&quot;Application&quot;&gt;*[System[(Level=4 or Level=0 or Level=5)]]&lt;/Select&gt;"/>
    <s v="Domain Computers"/>
    <s v="True"/>
    <s v="Domain Computers-Application-Informations"/>
    <n v="1"/>
    <x v="0"/>
    <s v="DCOMP_APP_INFO_UNSPECIFIC"/>
    <s v="Application"/>
    <s v="DCOMP_APP_INFO_EVENTS"/>
    <s v="D:\EventLogs\Domain Computers\Application"/>
    <s v="DCOMP_APP_INFO_UNSPECIFIC.evtx"/>
    <s v="D:\EventLogs\Domain Computers\Application\DCOMP_APP_INFO_UNSPECIFIC.evtx"/>
    <s v="Circular"/>
    <s v="Domain Computers-Application-Informations/Unspecific"/>
  </r>
  <r>
    <x v="1"/>
    <s v="Application"/>
    <s v="Warnings"/>
    <s v="Unspecific"/>
    <s v="1GB"/>
    <s v="Overwrite as needed"/>
    <s v="D:\EventLogs"/>
    <s v="True"/>
    <x v="0"/>
    <s v="&lt;Select Path=&quot;Application&quot;&gt;*[System[(Level=3)]]&lt;/Select&gt;"/>
    <s v="Domain Computers"/>
    <s v="True"/>
    <s v="Domain Computers-Application-Warnings"/>
    <n v="1"/>
    <x v="0"/>
    <s v="DCOMP_APP_WARN_UNSPECIFIC"/>
    <s v="Application"/>
    <s v="DCOMP_APP_WARN_EVENTS"/>
    <s v="D:\EventLogs\Domain Computers\Application"/>
    <s v="DCOMP_APP_WARN_UNSPECIFIC.evtx"/>
    <s v="D:\EventLogs\Domain Computers\Application\DCOMP_APP_WARN_UNSPECIFIC.evtx"/>
    <s v="Circular"/>
    <s v="Domain Computers-Application-Warnings/Unspecific"/>
  </r>
  <r>
    <x v="1"/>
    <s v="System"/>
    <s v="Criticals"/>
    <s v="Unspecific"/>
    <s v="1GB"/>
    <s v="AutoBackup - archive log files"/>
    <s v="D:\EventLogs"/>
    <s v="True"/>
    <x v="0"/>
    <s v="&lt;Select Path=&quot;System&quot;&gt;*[System[(Level=1 )]]&lt;/Select&gt;"/>
    <s v="Domain Computers"/>
    <s v="True"/>
    <s v="Domain Computers-System-Criticals"/>
    <n v="1"/>
    <x v="0"/>
    <s v="DCOMP_SYS_CRITIC_UNSPECIFIC"/>
    <s v="System"/>
    <s v="DCOMP_SYS_CRITIC_EVENTS"/>
    <s v="D:\EventLogs\Domain Computers\System"/>
    <s v="DCOMP_SYS_CRITIC_UNSPECIFIC.evtx"/>
    <s v="D:\EventLogs\Domain Computers\System\DCOMP_SYS_CRITIC_UNSPECIFIC.evtx"/>
    <s v="AutoBackup"/>
    <s v="Domain Computers-System-Criticals/Unspecific"/>
  </r>
  <r>
    <x v="1"/>
    <s v="System"/>
    <s v="Errors"/>
    <s v="Unspecific"/>
    <s v="1GB"/>
    <s v="AutoBackup - archive log files"/>
    <s v="D:\EventLogs"/>
    <s v="True"/>
    <x v="0"/>
    <s v="&lt;Select Path=&quot;System&quot;&gt;*[System[(Level=2)]]&lt;/Select&gt;"/>
    <s v="Domain Computers"/>
    <s v="True"/>
    <s v="Domain Computers-System-Errors"/>
    <n v="1"/>
    <x v="0"/>
    <s v="DCOMP_SYS_ERROR_UNSPECIFIC"/>
    <s v="System"/>
    <s v="DCOMP_SYS_ERROR_EVENTS"/>
    <s v="D:\EventLogs\Domain Computers\System"/>
    <s v="DCOMP_SYS_ERROR_UNSPECIFIC.evtx"/>
    <s v="D:\EventLogs\Domain Computers\System\DCOMP_SYS_ERROR_UNSPECIFIC.evtx"/>
    <s v="AutoBackup"/>
    <s v="Domain Computers-System-Errors/Unspecific"/>
  </r>
  <r>
    <x v="1"/>
    <s v="System"/>
    <s v="Informations"/>
    <s v="Unspecific"/>
    <s v="1GB"/>
    <s v="Overwrite as needed"/>
    <s v="D:\EventLogs"/>
    <s v="True"/>
    <x v="0"/>
    <s v="&lt;Select Path=&quot;System&quot;&gt;*[System[(Level=4 or Level=0)]]&lt;/Select&gt;"/>
    <s v="Domain Computers"/>
    <s v="True"/>
    <s v="Domain Computers-System-Informations"/>
    <n v="1"/>
    <x v="0"/>
    <s v="DCOMP_SYS_INFO_UNSPECIFIC"/>
    <s v="System"/>
    <s v="DCOMP_SYS_INFO_EVENTS"/>
    <s v="D:\EventLogs\Domain Computers\System"/>
    <s v="DCOMP_SYS_INFO_UNSPECIFIC.evtx"/>
    <s v="D:\EventLogs\Domain Computers\System\DCOMP_SYS_INFO_UNSPECIFIC.evtx"/>
    <s v="Circular"/>
    <s v="Domain Computers-System-Informations/Unspecific"/>
  </r>
  <r>
    <x v="1"/>
    <s v="System"/>
    <s v="Warnings"/>
    <s v="Unspecific"/>
    <s v="1GB"/>
    <s v="Overwrite as needed"/>
    <s v="D:\EventLogs"/>
    <s v="True"/>
    <x v="0"/>
    <s v="&lt;Select Path=&quot;System&quot;&gt;*[System[(Level=3)]]&lt;/Select&gt;"/>
    <s v="Domain Computers"/>
    <s v="True"/>
    <s v="Domain Computers-System-Warnings"/>
    <n v="8"/>
    <x v="0"/>
    <s v="DCOMP_SYS_WARN_UNSPECIFIC"/>
    <s v="System"/>
    <s v="DCOMP_SYS_WARN_EVENTS"/>
    <s v="D:\EventLogs\Domain Computers\System"/>
    <s v="DCOMP_SYS_WARN_UNSPECIFIC.evtx"/>
    <s v="D:\EventLogs\Domain Computers\System\DCOMP_SYS_WARN_UNSPECIFIC.evtx"/>
    <s v="Circular"/>
    <s v="Domain Computers-System-Warnings/Unspecific"/>
  </r>
  <r>
    <x v="1"/>
    <s v="System"/>
    <s v="Warnings"/>
    <s v="Unspecific"/>
    <m/>
    <m/>
    <m/>
    <m/>
    <x v="0"/>
    <m/>
    <m/>
    <m/>
    <s v="Domain Computers-System-Warnings"/>
    <n v="8"/>
    <x v="1"/>
    <s v="DCOMP_SYS_WARN_UNSPECIFIC"/>
    <s v=""/>
    <s v="DCOMP_SYS_WARN_EVENTS"/>
    <s v="C:\EventLogs\Domain Computers\System"/>
    <s v="DCOMP_SYS_WARN_UNSPECIFIC.evtx"/>
    <s v="C:\EventLogs\Domain Computers\System\DCOMP_SYS_WARN_UNSPECIFIC.evtx"/>
    <s v=""/>
    <s v="Domain Computers-System-Warnings/Unspecific"/>
  </r>
  <r>
    <x v="1"/>
    <s v="System"/>
    <s v="Warnings"/>
    <s v="Unspecific"/>
    <m/>
    <m/>
    <m/>
    <m/>
    <x v="0"/>
    <m/>
    <m/>
    <m/>
    <s v="Domain Computers-System-Warnings"/>
    <n v="8"/>
    <x v="1"/>
    <s v="DCOMP_SYS_WARN_UNSPECIFIC"/>
    <s v=""/>
    <s v="DCOMP_SYS_WARN_EVENTS"/>
    <s v="C:\EventLogs\Domain Computers\System"/>
    <s v="DCOMP_SYS_WARN_UNSPECIFIC.evtx"/>
    <s v="C:\EventLogs\Domain Computers\System\DCOMP_SYS_WARN_UNSPECIFIC.evtx"/>
    <s v=""/>
    <s v="Domain Computers-System-Warnings/Unspecific"/>
  </r>
  <r>
    <x v="1"/>
    <s v="System"/>
    <s v="Warnings"/>
    <s v="Unspecific"/>
    <m/>
    <m/>
    <m/>
    <m/>
    <x v="0"/>
    <m/>
    <m/>
    <m/>
    <s v="Domain Computers-System-Warnings"/>
    <n v="8"/>
    <x v="1"/>
    <s v="DCOMP_SYS_WARN_UNSPECIFIC"/>
    <s v=""/>
    <s v="DCOMP_SYS_WARN_EVENTS"/>
    <s v="C:\EventLogs\Domain Computers\System"/>
    <s v="DCOMP_SYS_WARN_UNSPECIFIC.evtx"/>
    <s v="C:\EventLogs\Domain Computers\System\DCOMP_SYS_WARN_UNSPECIFIC.evtx"/>
    <s v=""/>
    <s v="Domain Computers-System-Warnings/Unspecific"/>
  </r>
  <r>
    <x v="1"/>
    <s v="System"/>
    <s v="Warnings"/>
    <s v="Unspecific"/>
    <m/>
    <m/>
    <m/>
    <m/>
    <x v="0"/>
    <m/>
    <m/>
    <m/>
    <s v="Domain Computers-System-Warnings"/>
    <n v="8"/>
    <x v="1"/>
    <s v="DCOMP_SYS_WARN_UNSPECIFIC"/>
    <s v=""/>
    <s v="DCOMP_SYS_WARN_EVENTS"/>
    <s v="C:\EventLogs\Domain Computers\System"/>
    <s v="DCOMP_SYS_WARN_UNSPECIFIC.evtx"/>
    <s v="C:\EventLogs\Domain Computers\System\DCOMP_SYS_WARN_UNSPECIFIC.evtx"/>
    <s v=""/>
    <s v="Domain Computers-System-Warnings/Unspecific"/>
  </r>
  <r>
    <x v="1"/>
    <s v="System"/>
    <s v="Warnings"/>
    <s v="Unspecific"/>
    <m/>
    <m/>
    <m/>
    <m/>
    <x v="0"/>
    <m/>
    <m/>
    <m/>
    <s v="Domain Computers-System-Warnings"/>
    <n v="8"/>
    <x v="1"/>
    <s v="DCOMP_SYS_WARN_UNSPECIFIC"/>
    <s v=""/>
    <s v="DCOMP_SYS_WARN_EVENTS"/>
    <s v="C:\EventLogs\Domain Computers\System"/>
    <s v="DCOMP_SYS_WARN_UNSPECIFIC.evtx"/>
    <s v="C:\EventLogs\Domain Computers\System\DCOMP_SYS_WARN_UNSPECIFIC.evtx"/>
    <s v=""/>
    <s v="Domain Computers-System-Warnings/Unspecific"/>
  </r>
  <r>
    <x v="1"/>
    <s v="System"/>
    <s v="Warnings"/>
    <s v="Unspecific"/>
    <m/>
    <m/>
    <m/>
    <m/>
    <x v="0"/>
    <m/>
    <m/>
    <m/>
    <s v="Domain Computers-System-Warnings"/>
    <n v="8"/>
    <x v="1"/>
    <s v="DCOMP_SYS_WARN_UNSPECIFIC"/>
    <s v=""/>
    <s v="DCOMP_SYS_WARN_EVENTS"/>
    <s v="C:\EventLogs\Domain Computers\System"/>
    <s v="DCOMP_SYS_WARN_UNSPECIFIC.evtx"/>
    <s v="C:\EventLogs\Domain Computers\System\DCOMP_SYS_WARN_UNSPECIFIC.evtx"/>
    <s v=""/>
    <s v="Domain Computers-System-Warnings/Unspecific"/>
  </r>
  <r>
    <x v="1"/>
    <s v="System"/>
    <s v="Warnings"/>
    <s v="Unspecific"/>
    <m/>
    <m/>
    <m/>
    <m/>
    <x v="0"/>
    <m/>
    <m/>
    <m/>
    <s v="Domain Computers-System-Warnings"/>
    <n v="8"/>
    <x v="1"/>
    <s v="DCOMP_SYS_WARN_UNSPECIFIC"/>
    <s v=""/>
    <s v="DCOMP_SYS_WARN_EVENTS"/>
    <s v="C:\EventLogs\Domain Computers\System"/>
    <s v="DCOMP_SYS_WARN_UNSPECIFIC.evtx"/>
    <s v="C:\EventLogs\Domain Computers\System\DCOMP_SYS_WARN_UNSPECIFIC.evtx"/>
    <s v=""/>
    <s v="Domain Computers-System-Warnings/Unspecific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  <r>
    <x v="2"/>
    <m/>
    <m/>
    <m/>
    <m/>
    <m/>
    <m/>
    <m/>
    <x v="1"/>
    <m/>
    <m/>
    <m/>
    <s v=""/>
    <s v=""/>
    <x v="2"/>
    <s v=""/>
    <s v="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E238BC-9452-45A2-9E2A-78B61EF7CE56}" name="PT_CheckPerGroup" cacheId="5" applyNumberFormats="0" applyBorderFormats="0" applyFontFormats="0" applyPatternFormats="0" applyAlignmentFormats="0" applyWidthHeightFormats="1" dataCaption="Werte" updatedVersion="8" minRefreshableVersion="3" itemPrintTitles="1" createdVersion="7" indent="0" outline="1" outlineData="1" multipleFieldFilters="0" chartFormat="2" rowHeaderCaption="ChannelNameFolder1 with Query-Status" colHeaderCaption="Status Check">
  <location ref="A4:C11" firstHeaderRow="1" firstDataRow="2" firstDataCol="1"/>
  <pivotFields count="23">
    <pivotField axis="axisRow" showAll="0">
      <items count="4"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2">
    <field x="0"/>
    <field x="14"/>
  </rowFields>
  <rowItems count="6">
    <i>
      <x/>
    </i>
    <i r="1">
      <x/>
    </i>
    <i>
      <x v="2"/>
    </i>
    <i r="1">
      <x/>
    </i>
    <i r="1">
      <x v="1"/>
    </i>
    <i t="grand">
      <x/>
    </i>
  </rowItems>
  <colFields count="1">
    <field x="8"/>
  </colFields>
  <colItems count="2">
    <i>
      <x v="1"/>
    </i>
    <i t="grand">
      <x/>
    </i>
  </colItems>
  <dataFields count="1">
    <dataField name="Amount of defined entries" fld="20" subtotal="count" baseField="0" baseItem="0"/>
  </dataFields>
  <formats count="2">
    <format dxfId="1">
      <pivotArea dataOnly="0" outline="0" fieldPosition="0">
        <references count="1">
          <reference field="8" count="1">
            <x v="1"/>
          </reference>
        </references>
      </pivotArea>
    </format>
    <format dxfId="0">
      <pivotArea dataOnly="0" outline="0" fieldPosition="0">
        <references count="1">
          <reference field="8" count="1">
            <x v="1"/>
          </reference>
        </references>
      </pivotArea>
    </format>
  </formats>
  <chartFormats count="1"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</chartFormats>
  <pivotTableStyleInfo name="PivotStyleMedium2" showRowHeaders="1" showColHeaders="1" showRowStripes="0" showColStripes="0" showLastColumn="1"/>
  <filters count="2">
    <filter fld="0" type="captionNotEqual" evalOrder="-1" id="4" stringValue1="">
      <autoFilter ref="A1">
        <filterColumn colId="0">
          <customFilters>
            <customFilter operator="notEqual" val=" "/>
          </customFilters>
        </filterColumn>
      </autoFilter>
    </filter>
    <filter fld="10" type="captionNotEqual" evalOrder="-1" id="3" stringValue1="">
      <autoFilter ref="A1">
        <filterColumn colId="0">
          <customFilters>
            <customFilter operator="notEqual" val=" 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03313EF-373C-4D2D-90E6-C6BC848A33C1}" name="T_Channel" displayName="T_Channel" ref="B11:X1151" totalsRowShown="0" headerRowDxfId="55" dataDxfId="54" tableBorderDxfId="53">
  <autoFilter ref="B11:X1151" xr:uid="{0F744D7F-48EF-4C8F-A23B-3699D9344BA2}"/>
  <sortState xmlns:xlrd2="http://schemas.microsoft.com/office/spreadsheetml/2017/richdata2" ref="B12:X1151">
    <sortCondition ref="B12:B1151"/>
    <sortCondition ref="C12:C1151"/>
    <sortCondition ref="D12:D1151"/>
    <sortCondition ref="E12:E1151"/>
  </sortState>
  <tableColumns count="23">
    <tableColumn id="5" xr3:uid="{9D9957A6-C6C5-48FE-B28C-A364C143B7FD}" name="ChannelNameFolder1" dataDxfId="52"/>
    <tableColumn id="6" xr3:uid="{75B58A5F-7495-4642-81E5-8EC2AD938B8B}" name="ChannelNameFolder2" dataDxfId="51"/>
    <tableColumn id="7" xr3:uid="{65CA7BFD-4E57-4D38-8B34-52C02A679442}" name="ChannelNameFolder3" dataDxfId="50"/>
    <tableColumn id="8" xr3:uid="{EED5B5D2-3CE9-4AF2-A066-6BA9FA84F9ED}" name="ChannelNameLogFile" dataDxfId="49"/>
    <tableColumn id="13" xr3:uid="{4A07E9C7-A489-4347-BBAE-9DF39D5567DD}" name="MaxEventLogSize" dataDxfId="48" dataCellStyle="Standard"/>
    <tableColumn id="15" xr3:uid="{30451C63-964E-4D47-8B67-C2C1C93CC800}" name="Safekeeping of logs" dataDxfId="47"/>
    <tableColumn id="19" xr3:uid="{478A43D9-645F-4338-9994-995ED7ED4E5B}" name="LogFolderRoot" dataDxfId="46"/>
    <tableColumn id="22" xr3:uid="{6C998199-528A-43C4-BA39-2414E835C944}" name="ChannelEnabled" dataDxfId="45"/>
    <tableColumn id="10" xr3:uid="{9A8ED0B8-C434-42A4-A208-2D078703E51A}" name="Check" dataDxfId="44">
      <calculatedColumnFormula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calculatedColumnFormula>
    </tableColumn>
    <tableColumn id="4" xr3:uid="{7DB78633-FFC0-400F-BAD6-46756012F063}" name="Query" dataDxfId="43" dataCellStyle="Erklärender Text"/>
    <tableColumn id="12" xr3:uid="{2826D5A9-D729-48EF-AF04-D0D39C396790}" name="TargetGroup" dataDxfId="42" dataCellStyle="Erklärender Text"/>
    <tableColumn id="24" xr3:uid="{D1708C41-BD31-4C71-96A5-D9C8FA428E8F}" name="SubscriptionEnabled" dataDxfId="41"/>
    <tableColumn id="18" xr3:uid="{BCE1D7EA-3B4A-47DF-AAF8-256B1E2906CC}" name="ProviderName" dataDxfId="40">
      <calculatedColumnFormula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calculatedColumnFormula>
    </tableColumn>
    <tableColumn id="17" xr3:uid="{718BAC81-253F-4097-81CC-6F23DE6604E2}" name="Amount of Logfiles in Provider" dataDxfId="39">
      <calculatedColumnFormula>IF(
   T_Channel[[#This Row],[ProviderName]]="",
   "",
   COUNTIF($N$12:$N$9982,T_Channel[[#This Row],[ProviderName]])
)</calculatedColumnFormula>
    </tableColumn>
    <tableColumn id="21" xr3:uid="{0820CD05-286D-447A-A273-DE5E459B37D1}" name="QueryCheck" dataDxfId="38">
      <calculatedColumnFormula>IF(
   T_Channel[[#This Row],[Check]]&lt;&gt;"OK",
   "",
   IF(
      T_Channel[[#This Row],[Query]]="",
      "Empty",
      "Defined"
   )
)</calculatedColumnFormula>
    </tableColumn>
    <tableColumn id="14" xr3:uid="{96CABEA5-75A3-4721-98C7-EFDB56373BBC}" name="ChannelSymbol" dataDxfId="37">
      <calculatedColumnFormula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calculatedColumnFormula>
    </tableColumn>
    <tableColumn id="3" xr3:uid="{578D3DF0-B960-461F-8D84-A94743DDECF2}" name="QueryPath" dataDxfId="36">
      <calculatedColumnFormula>IF(
   T_Channel[[#This Row],[Query]]="",
   "",
   LEFT(SUBSTITUTE(T_Channel[[#This Row],[Query]],"&lt;Select Path=""","",1),FIND("""",SUBSTITUTE(T_Channel[[#This Row],[Query]],"&lt;Select Path=""","",1))-1)
)</calculatedColumnFormula>
    </tableColumn>
    <tableColumn id="20" xr3:uid="{8E4498EC-65EE-4513-8FE7-ECEE8DD4090F}" name="ProviderSymbol" dataDxfId="35">
      <calculatedColumnFormula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calculatedColumnFormula>
    </tableColumn>
    <tableColumn id="1" xr3:uid="{9840C442-817F-4A8B-9ED5-C8625EACC07A}" name="LogFolder" dataDxfId="34">
      <calculatedColumnFormula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calculatedColumnFormula>
    </tableColumn>
    <tableColumn id="2" xr3:uid="{2EF753D2-5C4B-4F0E-8FB3-A246444DDCF0}" name="LogFile" dataDxfId="33">
      <calculatedColumnFormula>IF(
   T_Channel[[#This Row],[Check]]&lt;&gt;"OK",
   "",
   T_Channel[[#This Row],[ChannelSymbol]] &amp; ".evtx"
)</calculatedColumnFormula>
    </tableColumn>
    <tableColumn id="11" xr3:uid="{5BB81A2F-E90E-4D67-A653-BA0A18BC8E53}" name="LogFullName" dataDxfId="32">
      <calculatedColumnFormula>IF(
   T_Channel[[#This Row],[Check]]&lt;&gt;"OK",
   "",
   T_Channel[[#This Row],[LogFolder]] &amp; "\" &amp; T_Channel[[#This Row],[LogFile]]
)</calculatedColumnFormula>
    </tableColumn>
    <tableColumn id="16" xr3:uid="{D861FB9A-360C-4ED5-8184-424CF82A7D14}" name="LogMode" dataDxfId="31">
      <calculatedColumnFormula>IF(
   T_Channel[[#This Row],[Safekeeping of logs]]="",
   "",
   VLOOKUP(T_Channel[[#This Row],[Safekeeping of logs]],T_List_LogMode[],2,FALSE)
)</calculatedColumnFormula>
    </tableColumn>
    <tableColumn id="9" xr3:uid="{7BB9BE60-0B2E-46DD-96AE-3E8A39821C90}" name="ChannelName" dataDxfId="30">
      <calculatedColumnFormula>IF(
   T_Channel[[#This Row],[Check]]&lt;&gt;"OK",
   "",
   T_Channel[[#This Row],[ChannelNameFolder1]]&amp;"-"&amp;T_Channel[[#This Row],[ChannelNameFolder2]]&amp;"-"&amp;T_Channel[[#This Row],[ChannelNameFolder3]]&amp;"/"&amp;T_Channel[[#This Row],[ChannelNameLogFile]]
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63A23B0-4A96-41FD-AF1D-428BA9FE1CC2}" name="T_List_TargetGroup" displayName="T_List_TargetGroup" ref="A4:A40" totalsRowShown="0" headerRowDxfId="29" dataDxfId="28" tableBorderDxfId="27">
  <autoFilter ref="A4:A40" xr:uid="{DFFB8028-5463-44B1-BDF8-AA0B16E4A398}"/>
  <tableColumns count="1">
    <tableColumn id="1" xr3:uid="{463968FE-4AB0-4085-9D7B-CE05715B17C9}" name="TargetGroup" dataDxfId="2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8111DB0-21D2-4FDA-A506-87C0E4F39BDA}" name="T_List_ChannelNameFolder1" displayName="T_List_ChannelNameFolder1" ref="C4:D40" totalsRowShown="0" headerRowDxfId="25" dataDxfId="24">
  <autoFilter ref="C4:D40" xr:uid="{09DD5842-8D96-4CD8-9057-93A218422103}"/>
  <tableColumns count="2">
    <tableColumn id="1" xr3:uid="{1DEC8385-4ECA-4478-86F1-230D77133656}" name="ChannelNameFolder1" dataDxfId="23"/>
    <tableColumn id="2" xr3:uid="{CF2649B9-CE40-44A6-914F-F640E60C2BAC}" name="ChannelNameFolder1_ShortName" dataDxfId="2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1C09849-C21F-4D67-B868-16170DB8C181}" name="T_List_ChannelNameFolder2" displayName="T_List_ChannelNameFolder2" ref="F4:G40" totalsRowShown="0" headerRowDxfId="21" dataDxfId="20">
  <autoFilter ref="F4:G40" xr:uid="{D4C4D000-E25F-4C5C-BCBB-7C01CA9701E9}"/>
  <tableColumns count="2">
    <tableColumn id="1" xr3:uid="{6E8CDE36-06B8-43DA-9315-2048A8A5667E}" name="ChannelNameFolder2" dataDxfId="19"/>
    <tableColumn id="2" xr3:uid="{3F3BC98D-A7F5-491E-9E13-4AFBC37D6057}" name="ChannelNameFolder2_ShortName" dataDxfId="1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797EC07-235F-4D4F-91FB-A70A5B0849D7}" name="T_List_ChannelNameFolder3" displayName="T_List_ChannelNameFolder3" ref="I4:J40" totalsRowShown="0" headerRowDxfId="17" dataDxfId="16">
  <autoFilter ref="I4:J40" xr:uid="{E5B03E27-E57B-4B22-B2E8-E696E2ECA539}"/>
  <tableColumns count="2">
    <tableColumn id="1" xr3:uid="{A090ADB3-6060-4B30-BFC3-D37CC85F4133}" name="ChannelNameFolder3" dataDxfId="15"/>
    <tableColumn id="2" xr3:uid="{3662A4B9-C6FC-41E2-B888-C88D14B5D9BE}" name="ChannelNameFolder3_ShortName" dataDxfId="14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6D4C1AA-1DD9-4A1F-B620-AD1648DB1C7B}" name="T_List_LogFileSize" displayName="T_List_LogFileSize" ref="N4:N40" totalsRowShown="0" headerRowDxfId="13" dataDxfId="12" tableBorderDxfId="11">
  <autoFilter ref="N4:N40" xr:uid="{4F2EA525-4895-4928-832A-7D3B380CCDED}"/>
  <tableColumns count="1">
    <tableColumn id="1" xr3:uid="{8A4627BC-BB95-4199-B091-C02BFD903B3E}" name="Available LogFileSizes" dataDxfId="1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6CC3636-E768-4026-B0D9-13EEB0B5A30C}" name="T_List_LogMode" displayName="T_List_LogMode" ref="P4:Q8" totalsRowShown="0" headerRowDxfId="9" dataDxfId="8">
  <autoFilter ref="P4:Q8" xr:uid="{3967AABF-7918-45E4-B464-88B1CC5A7561}"/>
  <tableColumns count="2">
    <tableColumn id="1" xr3:uid="{634F0650-5CE2-444C-834E-79E3780EA8A8}" name="LogModeDisplayname" dataDxfId="7"/>
    <tableColumn id="2" xr3:uid="{1F1D02D5-4131-4D61-9258-39B6B6FCFA08}" name="LogMode" dataDxfId="6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4180813-684D-42AA-BAC7-153286342209}" name="T_List_StatusOnOff" displayName="T_List_StatusOnOff" ref="S4:S7" totalsRowShown="0">
  <autoFilter ref="S4:S7" xr:uid="{E4180813-684D-42AA-BAC7-153286342209}"/>
  <tableColumns count="1">
    <tableColumn id="1" xr3:uid="{F46D6908-A7F7-41F7-A289-19F0362E54DF}" name="Enabled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8FDB6F2-BE71-44CF-A529-4221BBBF5A06}" name="T_List_LogRootPath" displayName="T_List_LogRootPath" ref="L4:L40" totalsRowShown="0" headerRowDxfId="5" dataDxfId="4" tableBorderDxfId="3">
  <autoFilter ref="L4:L40" xr:uid="{78FDB6F2-BE71-44CF-A529-4221BBBF5A06}"/>
  <tableColumns count="1">
    <tableColumn id="1" xr3:uid="{1A5EE16E-A1EB-4B95-82CF-2A7B34EAE11C}" name="LogRootPath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03D61-3E85-45C3-8195-B4758A975E32}">
  <sheetPr>
    <tabColor theme="4"/>
  </sheetPr>
  <dimension ref="A1:X1152"/>
  <sheetViews>
    <sheetView tabSelected="1" workbookViewId="0">
      <pane xSplit="5" ySplit="11" topLeftCell="F12" activePane="bottomRight" state="frozen"/>
      <selection pane="topRight" activeCell="E1" sqref="E1"/>
      <selection pane="bottomLeft" activeCell="A6" sqref="A6"/>
      <selection pane="bottomRight" activeCell="B28" sqref="B28"/>
    </sheetView>
  </sheetViews>
  <sheetFormatPr baseColWidth="10" defaultColWidth="11.3984375" defaultRowHeight="14.25" outlineLevelRow="1" outlineLevelCol="1" x14ac:dyDescent="0.45"/>
  <cols>
    <col min="1" max="1" width="2.73046875" customWidth="1"/>
    <col min="2" max="2" width="24.1328125" style="6" customWidth="1" outlineLevel="1"/>
    <col min="3" max="3" width="27.265625" style="6" customWidth="1" outlineLevel="1"/>
    <col min="4" max="4" width="24.73046875" style="6" customWidth="1" outlineLevel="1"/>
    <col min="5" max="5" width="45" style="6" customWidth="1"/>
    <col min="6" max="6" width="12.73046875" hidden="1" customWidth="1" outlineLevel="1"/>
    <col min="7" max="9" width="26.59765625" hidden="1" customWidth="1" outlineLevel="1"/>
    <col min="10" max="10" width="25.3984375" style="8" customWidth="1" collapsed="1"/>
    <col min="11" max="11" width="64.3984375" style="4" hidden="1" customWidth="1" outlineLevel="1"/>
    <col min="12" max="12" width="59.265625" style="8" hidden="1" customWidth="1" outlineLevel="1"/>
    <col min="13" max="13" width="20.265625" style="6" customWidth="1" collapsed="1"/>
    <col min="14" max="14" width="74.3984375" hidden="1" customWidth="1" outlineLevel="1"/>
    <col min="15" max="16" width="17.73046875" hidden="1" customWidth="1" outlineLevel="1"/>
    <col min="17" max="17" width="55.86328125" hidden="1" customWidth="1" outlineLevel="1"/>
    <col min="18" max="18" width="22.59765625" hidden="1" customWidth="1" outlineLevel="1"/>
    <col min="19" max="19" width="85.265625" style="6" hidden="1" customWidth="1" outlineLevel="1"/>
    <col min="20" max="20" width="55.86328125" hidden="1" customWidth="1" outlineLevel="1"/>
    <col min="21" max="21" width="41" style="8" hidden="1" customWidth="1" outlineLevel="1"/>
    <col min="22" max="22" width="43.3984375" hidden="1" customWidth="1" outlineLevel="1"/>
    <col min="23" max="23" width="24" hidden="1" customWidth="1" outlineLevel="1"/>
    <col min="24" max="24" width="105.3984375" bestFit="1" customWidth="1" collapsed="1"/>
    <col min="25" max="25" width="71.59765625" bestFit="1" customWidth="1"/>
    <col min="26" max="26" width="119" bestFit="1" customWidth="1"/>
    <col min="27" max="27" width="13.73046875" customWidth="1"/>
  </cols>
  <sheetData>
    <row r="1" spans="1:24" s="8" customFormat="1" ht="23.25" x14ac:dyDescent="0.7">
      <c r="A1" s="11" t="s">
        <v>144</v>
      </c>
      <c r="J1" s="12"/>
      <c r="M1"/>
    </row>
    <row r="2" spans="1:24" s="8" customFormat="1" outlineLevel="1" x14ac:dyDescent="0.45">
      <c r="A2" s="23" t="s">
        <v>0</v>
      </c>
      <c r="C2" s="32" t="s">
        <v>140</v>
      </c>
      <c r="J2" s="12"/>
      <c r="M2"/>
    </row>
    <row r="3" spans="1:24" s="8" customFormat="1" outlineLevel="1" x14ac:dyDescent="0.45">
      <c r="A3" s="23" t="s">
        <v>142</v>
      </c>
      <c r="C3" s="23"/>
      <c r="J3" s="12"/>
      <c r="M3"/>
    </row>
    <row r="4" spans="1:24" s="8" customFormat="1" outlineLevel="1" x14ac:dyDescent="0.45">
      <c r="A4" s="23" t="s">
        <v>143</v>
      </c>
      <c r="C4" s="23"/>
      <c r="J4" s="12"/>
      <c r="M4"/>
    </row>
    <row r="5" spans="1:24" s="8" customFormat="1" outlineLevel="1" x14ac:dyDescent="0.45">
      <c r="A5" s="23" t="s">
        <v>141</v>
      </c>
      <c r="C5" s="23"/>
      <c r="J5" s="12"/>
      <c r="M5"/>
    </row>
    <row r="6" spans="1:24" s="8" customFormat="1" outlineLevel="1" x14ac:dyDescent="0.45">
      <c r="A6" s="23" t="s">
        <v>1</v>
      </c>
      <c r="C6" s="23"/>
      <c r="J6" s="12"/>
      <c r="M6"/>
    </row>
    <row r="7" spans="1:24" s="8" customFormat="1" x14ac:dyDescent="0.45">
      <c r="A7"/>
      <c r="J7" s="12"/>
      <c r="M7"/>
    </row>
    <row r="8" spans="1:24" s="8" customFormat="1" outlineLevel="1" x14ac:dyDescent="0.45">
      <c r="A8"/>
      <c r="B8" s="54" t="s">
        <v>137</v>
      </c>
      <c r="C8" s="54"/>
      <c r="D8" s="54"/>
      <c r="E8" s="54"/>
      <c r="F8" s="54"/>
      <c r="G8" s="54"/>
      <c r="H8" s="54"/>
      <c r="I8" s="54"/>
      <c r="J8" s="54"/>
      <c r="K8" s="53" t="s">
        <v>138</v>
      </c>
      <c r="L8" s="53"/>
      <c r="M8" s="53"/>
      <c r="N8" s="55" t="s">
        <v>139</v>
      </c>
      <c r="O8" s="55"/>
      <c r="P8" s="55"/>
      <c r="Q8" s="55"/>
      <c r="R8" s="55"/>
      <c r="S8" s="55"/>
      <c r="T8" s="55"/>
      <c r="U8" s="55"/>
      <c r="V8" s="55"/>
      <c r="W8" s="55"/>
      <c r="X8" s="55"/>
    </row>
    <row r="9" spans="1:24" outlineLevel="1" x14ac:dyDescent="0.45">
      <c r="B9" s="56" t="s">
        <v>2</v>
      </c>
      <c r="C9" s="57"/>
      <c r="D9" s="57"/>
      <c r="E9" s="57"/>
      <c r="F9" s="57"/>
      <c r="G9" s="57"/>
      <c r="H9" s="57"/>
      <c r="I9" s="57"/>
      <c r="J9" s="58"/>
      <c r="K9" s="56" t="s">
        <v>2</v>
      </c>
      <c r="L9" s="57"/>
      <c r="M9" s="58"/>
      <c r="N9" s="56" t="s">
        <v>2</v>
      </c>
      <c r="O9" s="57"/>
      <c r="P9" s="57"/>
      <c r="Q9" s="57"/>
      <c r="R9" s="57"/>
      <c r="S9" s="57"/>
      <c r="T9" s="57"/>
      <c r="U9" s="57"/>
      <c r="V9" s="57"/>
      <c r="W9" s="57"/>
      <c r="X9" s="58"/>
    </row>
    <row r="10" spans="1:24" ht="62.25" customHeight="1" outlineLevel="1" x14ac:dyDescent="0.45">
      <c r="B10" s="24" t="s">
        <v>3</v>
      </c>
      <c r="C10" s="24" t="s">
        <v>4</v>
      </c>
      <c r="D10" s="24" t="s">
        <v>5</v>
      </c>
      <c r="E10" s="24" t="s">
        <v>6</v>
      </c>
      <c r="F10" s="24" t="s">
        <v>8</v>
      </c>
      <c r="G10" s="24" t="s">
        <v>132</v>
      </c>
      <c r="H10" s="24"/>
      <c r="I10" s="24"/>
      <c r="J10" s="24" t="s">
        <v>130</v>
      </c>
      <c r="K10" s="24" t="s">
        <v>9</v>
      </c>
      <c r="L10" s="24" t="s">
        <v>7</v>
      </c>
      <c r="M10" s="24" t="s">
        <v>133</v>
      </c>
      <c r="N10" s="24" t="s">
        <v>128</v>
      </c>
      <c r="O10" s="24" t="s">
        <v>129</v>
      </c>
      <c r="P10" s="24"/>
      <c r="Q10" s="24" t="s">
        <v>11</v>
      </c>
      <c r="R10" s="24" t="s">
        <v>12</v>
      </c>
      <c r="S10" s="24" t="s">
        <v>11</v>
      </c>
      <c r="T10" s="24" t="s">
        <v>13</v>
      </c>
      <c r="U10" s="24" t="s">
        <v>14</v>
      </c>
      <c r="V10" s="24" t="s">
        <v>15</v>
      </c>
      <c r="W10" s="24" t="s">
        <v>16</v>
      </c>
      <c r="X10" s="24" t="s">
        <v>10</v>
      </c>
    </row>
    <row r="11" spans="1:24" s="40" customFormat="1" ht="30" customHeight="1" x14ac:dyDescent="0.45">
      <c r="A11" s="36"/>
      <c r="B11" s="37" t="s">
        <v>17</v>
      </c>
      <c r="C11" s="37" t="s">
        <v>18</v>
      </c>
      <c r="D11" s="37" t="s">
        <v>19</v>
      </c>
      <c r="E11" s="37" t="s">
        <v>20</v>
      </c>
      <c r="F11" s="38" t="s">
        <v>23</v>
      </c>
      <c r="G11" s="38" t="s">
        <v>24</v>
      </c>
      <c r="H11" s="38" t="s">
        <v>159</v>
      </c>
      <c r="I11" s="38" t="s">
        <v>160</v>
      </c>
      <c r="J11" s="39" t="s">
        <v>21</v>
      </c>
      <c r="K11" s="38" t="s">
        <v>25</v>
      </c>
      <c r="L11" s="38" t="s">
        <v>22</v>
      </c>
      <c r="M11" s="36" t="s">
        <v>161</v>
      </c>
      <c r="N11" s="38" t="s">
        <v>26</v>
      </c>
      <c r="O11" s="38" t="s">
        <v>127</v>
      </c>
      <c r="P11" s="38" t="s">
        <v>147</v>
      </c>
      <c r="Q11" s="38" t="s">
        <v>28</v>
      </c>
      <c r="R11" s="38" t="s">
        <v>29</v>
      </c>
      <c r="S11" s="37" t="s">
        <v>30</v>
      </c>
      <c r="T11" s="37" t="s">
        <v>31</v>
      </c>
      <c r="U11" s="37" t="s">
        <v>32</v>
      </c>
      <c r="V11" s="37" t="s">
        <v>33</v>
      </c>
      <c r="W11" s="37" t="s">
        <v>34</v>
      </c>
      <c r="X11" s="37" t="s">
        <v>27</v>
      </c>
    </row>
    <row r="12" spans="1:24" x14ac:dyDescent="0.45">
      <c r="B12" s="7" t="s">
        <v>35</v>
      </c>
      <c r="C12" s="7" t="s">
        <v>54</v>
      </c>
      <c r="D12" s="5" t="s">
        <v>60</v>
      </c>
      <c r="E12" s="5" t="s">
        <v>56</v>
      </c>
      <c r="F12" s="6" t="s">
        <v>41</v>
      </c>
      <c r="G12" s="6" t="s">
        <v>39</v>
      </c>
      <c r="H12" s="6" t="s">
        <v>79</v>
      </c>
      <c r="I12" s="6" t="s">
        <v>134</v>
      </c>
      <c r="J12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>OK</v>
      </c>
      <c r="K12" s="35" t="s">
        <v>120</v>
      </c>
      <c r="L12" s="5" t="s">
        <v>35</v>
      </c>
      <c r="M12" s="41" t="s">
        <v>134</v>
      </c>
      <c r="N12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>Domain Controllers-Application-Criticals</v>
      </c>
      <c r="O12" s="26">
        <f>IF(
   T_Channel[[#This Row],[ProviderName]]="",
   "",
   COUNTIF($N$12:$N$9982,T_Channel[[#This Row],[ProviderName]])
)</f>
        <v>1</v>
      </c>
      <c r="P12" s="26" t="str">
        <f>IF(
   T_Channel[[#This Row],[Check]]&lt;&gt;"OK",
   "",
   IF(
      T_Channel[[#This Row],[Query]]="",
      "Empty",
      "Defined"
   )
)</f>
        <v>Defined</v>
      </c>
      <c r="Q12" s="49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>DC_APP_CRITIC_UNSPECIFIC</v>
      </c>
      <c r="R12" s="19" t="str">
        <f>IF(
   T_Channel[[#This Row],[Query]]="",
   "",
   LEFT(SUBSTITUTE(T_Channel[[#This Row],[Query]],"&lt;Select Path=""","",1),FIND("""",SUBSTITUTE(T_Channel[[#This Row],[Query]],"&lt;Select Path=""","",1))-1)
)</f>
        <v>Application</v>
      </c>
      <c r="S12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>DC_APP_CRITIC_EVENTS</v>
      </c>
      <c r="T1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>D:\EventLogs\Domain Controllers\Application</v>
      </c>
      <c r="U12" s="20" t="str">
        <f>IF(
   T_Channel[[#This Row],[Check]]&lt;&gt;"OK",
   "",
   T_Channel[[#This Row],[ChannelSymbol]] &amp; ".evtx"
)</f>
        <v>DC_APP_CRITIC_UNSPECIFIC.evtx</v>
      </c>
      <c r="V12" s="20" t="str">
        <f>IF(
   T_Channel[[#This Row],[Check]]&lt;&gt;"OK",
   "",
   T_Channel[[#This Row],[LogFolder]] &amp; "\" &amp; T_Channel[[#This Row],[LogFile]]
)</f>
        <v>D:\EventLogs\Domain Controllers\Application\DC_APP_CRITIC_UNSPECIFIC.evtx</v>
      </c>
      <c r="W12" s="20" t="str">
        <f>IF(
   T_Channel[[#This Row],[Safekeeping of logs]]="",
   "",
   VLOOKUP(T_Channel[[#This Row],[Safekeeping of logs]],T_List_LogMode[],2,FALSE)
)</f>
        <v>AutoBackup</v>
      </c>
      <c r="X12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>Domain Controllers-Application-Criticals/Unspecific</v>
      </c>
    </row>
    <row r="13" spans="1:24" x14ac:dyDescent="0.45">
      <c r="B13" s="7" t="s">
        <v>35</v>
      </c>
      <c r="C13" s="5" t="s">
        <v>54</v>
      </c>
      <c r="D13" s="5" t="s">
        <v>59</v>
      </c>
      <c r="E13" s="5" t="s">
        <v>56</v>
      </c>
      <c r="F13" s="6" t="s">
        <v>41</v>
      </c>
      <c r="G13" s="6" t="s">
        <v>39</v>
      </c>
      <c r="H13" s="6" t="s">
        <v>79</v>
      </c>
      <c r="I13" s="6" t="s">
        <v>134</v>
      </c>
      <c r="J13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>OK</v>
      </c>
      <c r="K13" s="35" t="s">
        <v>119</v>
      </c>
      <c r="L13" s="5" t="s">
        <v>35</v>
      </c>
      <c r="M13" s="41" t="s">
        <v>134</v>
      </c>
      <c r="N13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>Domain Controllers-Application-Errors</v>
      </c>
      <c r="O13" s="26">
        <f>IF(
   T_Channel[[#This Row],[ProviderName]]="",
   "",
   COUNTIF($N$12:$N$9982,T_Channel[[#This Row],[ProviderName]])
)</f>
        <v>1</v>
      </c>
      <c r="P13" s="26" t="str">
        <f>IF(
   T_Channel[[#This Row],[Check]]&lt;&gt;"OK",
   "",
   IF(
      T_Channel[[#This Row],[Query]]="",
      "Empty",
      "Defined"
   )
)</f>
        <v>Defined</v>
      </c>
      <c r="Q13" s="49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>DC_APP_ERROR_UNSPECIFIC</v>
      </c>
      <c r="R13" s="19" t="str">
        <f>IF(
   T_Channel[[#This Row],[Query]]="",
   "",
   LEFT(SUBSTITUTE(T_Channel[[#This Row],[Query]],"&lt;Select Path=""","",1),FIND("""",SUBSTITUTE(T_Channel[[#This Row],[Query]],"&lt;Select Path=""","",1))-1)
)</f>
        <v>Application</v>
      </c>
      <c r="S13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>DC_APP_ERROR_EVENTS</v>
      </c>
      <c r="T1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>D:\EventLogs\Domain Controllers\Application</v>
      </c>
      <c r="U13" s="20" t="str">
        <f>IF(
   T_Channel[[#This Row],[Check]]&lt;&gt;"OK",
   "",
   T_Channel[[#This Row],[ChannelSymbol]] &amp; ".evtx"
)</f>
        <v>DC_APP_ERROR_UNSPECIFIC.evtx</v>
      </c>
      <c r="V13" s="20" t="str">
        <f>IF(
   T_Channel[[#This Row],[Check]]&lt;&gt;"OK",
   "",
   T_Channel[[#This Row],[LogFolder]] &amp; "\" &amp; T_Channel[[#This Row],[LogFile]]
)</f>
        <v>D:\EventLogs\Domain Controllers\Application\DC_APP_ERROR_UNSPECIFIC.evtx</v>
      </c>
      <c r="W13" s="20" t="str">
        <f>IF(
   T_Channel[[#This Row],[Safekeeping of logs]]="",
   "",
   VLOOKUP(T_Channel[[#This Row],[Safekeeping of logs]],T_List_LogMode[],2,FALSE)
)</f>
        <v>AutoBackup</v>
      </c>
      <c r="X13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>Domain Controllers-Application-Errors/Unspecific</v>
      </c>
    </row>
    <row r="14" spans="1:24" x14ac:dyDescent="0.45">
      <c r="B14" s="7" t="s">
        <v>35</v>
      </c>
      <c r="C14" s="5" t="s">
        <v>54</v>
      </c>
      <c r="D14" s="5" t="s">
        <v>55</v>
      </c>
      <c r="E14" s="5" t="s">
        <v>56</v>
      </c>
      <c r="F14" s="6" t="s">
        <v>41</v>
      </c>
      <c r="G14" s="6" t="s">
        <v>57</v>
      </c>
      <c r="H14" s="6" t="s">
        <v>79</v>
      </c>
      <c r="I14" s="6" t="s">
        <v>134</v>
      </c>
      <c r="J14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>OK</v>
      </c>
      <c r="K14" s="35" t="s">
        <v>117</v>
      </c>
      <c r="L14" s="5" t="s">
        <v>35</v>
      </c>
      <c r="M14" s="41" t="s">
        <v>134</v>
      </c>
      <c r="N14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>Domain Controllers-Application-Informations</v>
      </c>
      <c r="O14" s="26">
        <f>IF(
   T_Channel[[#This Row],[ProviderName]]="",
   "",
   COUNTIF($N$12:$N$9982,T_Channel[[#This Row],[ProviderName]])
)</f>
        <v>1</v>
      </c>
      <c r="P14" s="26" t="str">
        <f>IF(
   T_Channel[[#This Row],[Check]]&lt;&gt;"OK",
   "",
   IF(
      T_Channel[[#This Row],[Query]]="",
      "Empty",
      "Defined"
   )
)</f>
        <v>Defined</v>
      </c>
      <c r="Q14" s="49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>DC_APP_INFO_UNSPECIFIC</v>
      </c>
      <c r="R14" s="19" t="str">
        <f>IF(
   T_Channel[[#This Row],[Query]]="",
   "",
   LEFT(SUBSTITUTE(T_Channel[[#This Row],[Query]],"&lt;Select Path=""","",1),FIND("""",SUBSTITUTE(T_Channel[[#This Row],[Query]],"&lt;Select Path=""","",1))-1)
)</f>
        <v>Application</v>
      </c>
      <c r="S14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>DC_APP_INFO_EVENTS</v>
      </c>
      <c r="T1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>D:\EventLogs\Domain Controllers\Application</v>
      </c>
      <c r="U14" s="20" t="str">
        <f>IF(
   T_Channel[[#This Row],[Check]]&lt;&gt;"OK",
   "",
   T_Channel[[#This Row],[ChannelSymbol]] &amp; ".evtx"
)</f>
        <v>DC_APP_INFO_UNSPECIFIC.evtx</v>
      </c>
      <c r="V14" s="20" t="str">
        <f>IF(
   T_Channel[[#This Row],[Check]]&lt;&gt;"OK",
   "",
   T_Channel[[#This Row],[LogFolder]] &amp; "\" &amp; T_Channel[[#This Row],[LogFile]]
)</f>
        <v>D:\EventLogs\Domain Controllers\Application\DC_APP_INFO_UNSPECIFIC.evtx</v>
      </c>
      <c r="W14" s="20" t="str">
        <f>IF(
   T_Channel[[#This Row],[Safekeeping of logs]]="",
   "",
   VLOOKUP(T_Channel[[#This Row],[Safekeeping of logs]],T_List_LogMode[],2,FALSE)
)</f>
        <v>Circular</v>
      </c>
      <c r="X14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>Domain Controllers-Application-Informations/Unspecific</v>
      </c>
    </row>
    <row r="15" spans="1:24" x14ac:dyDescent="0.45">
      <c r="B15" s="7" t="s">
        <v>35</v>
      </c>
      <c r="C15" s="5" t="s">
        <v>54</v>
      </c>
      <c r="D15" s="5" t="s">
        <v>58</v>
      </c>
      <c r="E15" s="5" t="s">
        <v>56</v>
      </c>
      <c r="F15" s="6" t="s">
        <v>41</v>
      </c>
      <c r="G15" s="6" t="s">
        <v>57</v>
      </c>
      <c r="H15" s="6" t="s">
        <v>79</v>
      </c>
      <c r="I15" s="6" t="s">
        <v>134</v>
      </c>
      <c r="J15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>OK</v>
      </c>
      <c r="K15" s="35" t="s">
        <v>118</v>
      </c>
      <c r="L15" s="5" t="s">
        <v>35</v>
      </c>
      <c r="M15" s="41" t="s">
        <v>134</v>
      </c>
      <c r="N15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>Domain Controllers-Application-Warnings</v>
      </c>
      <c r="O15" s="26">
        <f>IF(
   T_Channel[[#This Row],[ProviderName]]="",
   "",
   COUNTIF($N$12:$N$9982,T_Channel[[#This Row],[ProviderName]])
)</f>
        <v>1</v>
      </c>
      <c r="P15" s="26" t="str">
        <f>IF(
   T_Channel[[#This Row],[Check]]&lt;&gt;"OK",
   "",
   IF(
      T_Channel[[#This Row],[Query]]="",
      "Empty",
      "Defined"
   )
)</f>
        <v>Defined</v>
      </c>
      <c r="Q15" s="49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>DC_APP_WARN_UNSPECIFIC</v>
      </c>
      <c r="R15" s="19" t="str">
        <f>IF(
   T_Channel[[#This Row],[Query]]="",
   "",
   LEFT(SUBSTITUTE(T_Channel[[#This Row],[Query]],"&lt;Select Path=""","",1),FIND("""",SUBSTITUTE(T_Channel[[#This Row],[Query]],"&lt;Select Path=""","",1))-1)
)</f>
        <v>Application</v>
      </c>
      <c r="S15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>DC_APP_WARN_EVENTS</v>
      </c>
      <c r="T1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>D:\EventLogs\Domain Controllers\Application</v>
      </c>
      <c r="U15" s="20" t="str">
        <f>IF(
   T_Channel[[#This Row],[Check]]&lt;&gt;"OK",
   "",
   T_Channel[[#This Row],[ChannelSymbol]] &amp; ".evtx"
)</f>
        <v>DC_APP_WARN_UNSPECIFIC.evtx</v>
      </c>
      <c r="V15" s="20" t="str">
        <f>IF(
   T_Channel[[#This Row],[Check]]&lt;&gt;"OK",
   "",
   T_Channel[[#This Row],[LogFolder]] &amp; "\" &amp; T_Channel[[#This Row],[LogFile]]
)</f>
        <v>D:\EventLogs\Domain Controllers\Application\DC_APP_WARN_UNSPECIFIC.evtx</v>
      </c>
      <c r="W15" s="20" t="str">
        <f>IF(
   T_Channel[[#This Row],[Safekeeping of logs]]="",
   "",
   VLOOKUP(T_Channel[[#This Row],[Safekeeping of logs]],T_List_LogMode[],2,FALSE)
)</f>
        <v>Circular</v>
      </c>
      <c r="X15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>Domain Controllers-Application-Warnings/Unspecific</v>
      </c>
    </row>
    <row r="16" spans="1:24" x14ac:dyDescent="0.45">
      <c r="B16" s="7" t="s">
        <v>35</v>
      </c>
      <c r="C16" s="5" t="s">
        <v>61</v>
      </c>
      <c r="D16" s="5" t="s">
        <v>60</v>
      </c>
      <c r="E16" s="5" t="s">
        <v>56</v>
      </c>
      <c r="F16" s="6" t="s">
        <v>41</v>
      </c>
      <c r="G16" s="6" t="s">
        <v>39</v>
      </c>
      <c r="H16" s="6" t="s">
        <v>79</v>
      </c>
      <c r="I16" s="6" t="s">
        <v>134</v>
      </c>
      <c r="J16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>OK</v>
      </c>
      <c r="K16" s="35" t="s">
        <v>124</v>
      </c>
      <c r="L16" s="5" t="s">
        <v>35</v>
      </c>
      <c r="M16" s="41" t="s">
        <v>134</v>
      </c>
      <c r="N16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>Domain Controllers-System-Criticals</v>
      </c>
      <c r="O16" s="26">
        <f>IF(
   T_Channel[[#This Row],[ProviderName]]="",
   "",
   COUNTIF($N$12:$N$9982,T_Channel[[#This Row],[ProviderName]])
)</f>
        <v>1</v>
      </c>
      <c r="P16" s="26" t="str">
        <f>IF(
   T_Channel[[#This Row],[Check]]&lt;&gt;"OK",
   "",
   IF(
      T_Channel[[#This Row],[Query]]="",
      "Empty",
      "Defined"
   )
)</f>
        <v>Defined</v>
      </c>
      <c r="Q16" s="49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>DC_SYS_CRITIC_UNSPECIFIC</v>
      </c>
      <c r="R16" s="19" t="str">
        <f>IF(
   T_Channel[[#This Row],[Query]]="",
   "",
   LEFT(SUBSTITUTE(T_Channel[[#This Row],[Query]],"&lt;Select Path=""","",1),FIND("""",SUBSTITUTE(T_Channel[[#This Row],[Query]],"&lt;Select Path=""","",1))-1)
)</f>
        <v>System</v>
      </c>
      <c r="S16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>DC_SYS_CRITIC_EVENTS</v>
      </c>
      <c r="T1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>D:\EventLogs\Domain Controllers\System</v>
      </c>
      <c r="U16" s="20" t="str">
        <f>IF(
   T_Channel[[#This Row],[Check]]&lt;&gt;"OK",
   "",
   T_Channel[[#This Row],[ChannelSymbol]] &amp; ".evtx"
)</f>
        <v>DC_SYS_CRITIC_UNSPECIFIC.evtx</v>
      </c>
      <c r="V16" s="20" t="str">
        <f>IF(
   T_Channel[[#This Row],[Check]]&lt;&gt;"OK",
   "",
   T_Channel[[#This Row],[LogFolder]] &amp; "\" &amp; T_Channel[[#This Row],[LogFile]]
)</f>
        <v>D:\EventLogs\Domain Controllers\System\DC_SYS_CRITIC_UNSPECIFIC.evtx</v>
      </c>
      <c r="W16" s="20" t="str">
        <f>IF(
   T_Channel[[#This Row],[Safekeeping of logs]]="",
   "",
   VLOOKUP(T_Channel[[#This Row],[Safekeeping of logs]],T_List_LogMode[],2,FALSE)
)</f>
        <v>AutoBackup</v>
      </c>
      <c r="X16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>Domain Controllers-System-Criticals/Unspecific</v>
      </c>
    </row>
    <row r="17" spans="2:24" x14ac:dyDescent="0.45">
      <c r="B17" s="7" t="s">
        <v>35</v>
      </c>
      <c r="C17" s="5" t="s">
        <v>61</v>
      </c>
      <c r="D17" s="5" t="s">
        <v>59</v>
      </c>
      <c r="E17" s="5" t="s">
        <v>56</v>
      </c>
      <c r="F17" s="6" t="s">
        <v>41</v>
      </c>
      <c r="G17" s="6" t="s">
        <v>39</v>
      </c>
      <c r="H17" s="6" t="s">
        <v>79</v>
      </c>
      <c r="I17" s="6" t="s">
        <v>134</v>
      </c>
      <c r="J17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>OK</v>
      </c>
      <c r="K17" s="35" t="s">
        <v>123</v>
      </c>
      <c r="L17" s="5" t="s">
        <v>35</v>
      </c>
      <c r="M17" s="41" t="s">
        <v>134</v>
      </c>
      <c r="N17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>Domain Controllers-System-Errors</v>
      </c>
      <c r="O17" s="26">
        <f>IF(
   T_Channel[[#This Row],[ProviderName]]="",
   "",
   COUNTIF($N$12:$N$9982,T_Channel[[#This Row],[ProviderName]])
)</f>
        <v>1</v>
      </c>
      <c r="P17" s="26" t="str">
        <f>IF(
   T_Channel[[#This Row],[Check]]&lt;&gt;"OK",
   "",
   IF(
      T_Channel[[#This Row],[Query]]="",
      "Empty",
      "Defined"
   )
)</f>
        <v>Defined</v>
      </c>
      <c r="Q17" s="49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>DC_SYS_ERROR_UNSPECIFIC</v>
      </c>
      <c r="R17" s="19" t="str">
        <f>IF(
   T_Channel[[#This Row],[Query]]="",
   "",
   LEFT(SUBSTITUTE(T_Channel[[#This Row],[Query]],"&lt;Select Path=""","",1),FIND("""",SUBSTITUTE(T_Channel[[#This Row],[Query]],"&lt;Select Path=""","",1))-1)
)</f>
        <v>System</v>
      </c>
      <c r="S17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>DC_SYS_ERROR_EVENTS</v>
      </c>
      <c r="T1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>D:\EventLogs\Domain Controllers\System</v>
      </c>
      <c r="U17" s="20" t="str">
        <f>IF(
   T_Channel[[#This Row],[Check]]&lt;&gt;"OK",
   "",
   T_Channel[[#This Row],[ChannelSymbol]] &amp; ".evtx"
)</f>
        <v>DC_SYS_ERROR_UNSPECIFIC.evtx</v>
      </c>
      <c r="V17" s="20" t="str">
        <f>IF(
   T_Channel[[#This Row],[Check]]&lt;&gt;"OK",
   "",
   T_Channel[[#This Row],[LogFolder]] &amp; "\" &amp; T_Channel[[#This Row],[LogFile]]
)</f>
        <v>D:\EventLogs\Domain Controllers\System\DC_SYS_ERROR_UNSPECIFIC.evtx</v>
      </c>
      <c r="W17" s="20" t="str">
        <f>IF(
   T_Channel[[#This Row],[Safekeeping of logs]]="",
   "",
   VLOOKUP(T_Channel[[#This Row],[Safekeeping of logs]],T_List_LogMode[],2,FALSE)
)</f>
        <v>AutoBackup</v>
      </c>
      <c r="X17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>Domain Controllers-System-Errors/Unspecific</v>
      </c>
    </row>
    <row r="18" spans="2:24" x14ac:dyDescent="0.45">
      <c r="B18" s="7" t="s">
        <v>35</v>
      </c>
      <c r="C18" s="5" t="s">
        <v>61</v>
      </c>
      <c r="D18" s="5" t="s">
        <v>55</v>
      </c>
      <c r="E18" s="5" t="s">
        <v>56</v>
      </c>
      <c r="F18" s="6" t="s">
        <v>41</v>
      </c>
      <c r="G18" s="6" t="s">
        <v>57</v>
      </c>
      <c r="H18" s="6" t="s">
        <v>79</v>
      </c>
      <c r="I18" s="6" t="s">
        <v>134</v>
      </c>
      <c r="J18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>OK</v>
      </c>
      <c r="K18" s="35" t="s">
        <v>121</v>
      </c>
      <c r="L18" s="5" t="s">
        <v>35</v>
      </c>
      <c r="M18" s="41" t="s">
        <v>134</v>
      </c>
      <c r="N18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>Domain Controllers-System-Informations</v>
      </c>
      <c r="O18" s="26">
        <f>IF(
   T_Channel[[#This Row],[ProviderName]]="",
   "",
   COUNTIF($N$12:$N$9982,T_Channel[[#This Row],[ProviderName]])
)</f>
        <v>1</v>
      </c>
      <c r="P18" s="26" t="str">
        <f>IF(
   T_Channel[[#This Row],[Check]]&lt;&gt;"OK",
   "",
   IF(
      T_Channel[[#This Row],[Query]]="",
      "Empty",
      "Defined"
   )
)</f>
        <v>Defined</v>
      </c>
      <c r="Q18" s="49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>DC_SYS_INFO_UNSPECIFIC</v>
      </c>
      <c r="R18" s="19" t="str">
        <f>IF(
   T_Channel[[#This Row],[Query]]="",
   "",
   LEFT(SUBSTITUTE(T_Channel[[#This Row],[Query]],"&lt;Select Path=""","",1),FIND("""",SUBSTITUTE(T_Channel[[#This Row],[Query]],"&lt;Select Path=""","",1))-1)
)</f>
        <v>System</v>
      </c>
      <c r="S18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>DC_SYS_INFO_EVENTS</v>
      </c>
      <c r="T1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>D:\EventLogs\Domain Controllers\System</v>
      </c>
      <c r="U18" s="20" t="str">
        <f>IF(
   T_Channel[[#This Row],[Check]]&lt;&gt;"OK",
   "",
   T_Channel[[#This Row],[ChannelSymbol]] &amp; ".evtx"
)</f>
        <v>DC_SYS_INFO_UNSPECIFIC.evtx</v>
      </c>
      <c r="V18" s="20" t="str">
        <f>IF(
   T_Channel[[#This Row],[Check]]&lt;&gt;"OK",
   "",
   T_Channel[[#This Row],[LogFolder]] &amp; "\" &amp; T_Channel[[#This Row],[LogFile]]
)</f>
        <v>D:\EventLogs\Domain Controllers\System\DC_SYS_INFO_UNSPECIFIC.evtx</v>
      </c>
      <c r="W18" s="20" t="str">
        <f>IF(
   T_Channel[[#This Row],[Safekeeping of logs]]="",
   "",
   VLOOKUP(T_Channel[[#This Row],[Safekeeping of logs]],T_List_LogMode[],2,FALSE)
)</f>
        <v>Circular</v>
      </c>
      <c r="X18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>Domain Controllers-System-Informations/Unspecific</v>
      </c>
    </row>
    <row r="19" spans="2:24" x14ac:dyDescent="0.45">
      <c r="B19" s="7" t="s">
        <v>35</v>
      </c>
      <c r="C19" s="5" t="s">
        <v>61</v>
      </c>
      <c r="D19" s="5" t="s">
        <v>58</v>
      </c>
      <c r="E19" s="5" t="s">
        <v>56</v>
      </c>
      <c r="F19" s="6" t="s">
        <v>41</v>
      </c>
      <c r="G19" s="6" t="s">
        <v>57</v>
      </c>
      <c r="H19" s="6" t="s">
        <v>79</v>
      </c>
      <c r="I19" s="6" t="s">
        <v>134</v>
      </c>
      <c r="J19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>OK</v>
      </c>
      <c r="K19" s="35" t="s">
        <v>122</v>
      </c>
      <c r="L19" s="5" t="s">
        <v>35</v>
      </c>
      <c r="M19" s="41" t="s">
        <v>134</v>
      </c>
      <c r="N19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>Domain Controllers-System-Warnings</v>
      </c>
      <c r="O19" s="26">
        <f>IF(
   T_Channel[[#This Row],[ProviderName]]="",
   "",
   COUNTIF($N$12:$N$9982,T_Channel[[#This Row],[ProviderName]])
)</f>
        <v>1</v>
      </c>
      <c r="P19" s="26" t="str">
        <f>IF(
   T_Channel[[#This Row],[Check]]&lt;&gt;"OK",
   "",
   IF(
      T_Channel[[#This Row],[Query]]="",
      "Empty",
      "Defined"
   )
)</f>
        <v>Defined</v>
      </c>
      <c r="Q19" s="49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>DC_SYS_WARN_UNSPECIFIC</v>
      </c>
      <c r="R19" s="19" t="str">
        <f>IF(
   T_Channel[[#This Row],[Query]]="",
   "",
   LEFT(SUBSTITUTE(T_Channel[[#This Row],[Query]],"&lt;Select Path=""","",1),FIND("""",SUBSTITUTE(T_Channel[[#This Row],[Query]],"&lt;Select Path=""","",1))-1)
)</f>
        <v>System</v>
      </c>
      <c r="S19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>DC_SYS_WARN_EVENTS</v>
      </c>
      <c r="T1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>D:\EventLogs\Domain Controllers\System</v>
      </c>
      <c r="U19" s="20" t="str">
        <f>IF(
   T_Channel[[#This Row],[Check]]&lt;&gt;"OK",
   "",
   T_Channel[[#This Row],[ChannelSymbol]] &amp; ".evtx"
)</f>
        <v>DC_SYS_WARN_UNSPECIFIC.evtx</v>
      </c>
      <c r="V19" s="20" t="str">
        <f>IF(
   T_Channel[[#This Row],[Check]]&lt;&gt;"OK",
   "",
   T_Channel[[#This Row],[LogFolder]] &amp; "\" &amp; T_Channel[[#This Row],[LogFile]]
)</f>
        <v>D:\EventLogs\Domain Controllers\System\DC_SYS_WARN_UNSPECIFIC.evtx</v>
      </c>
      <c r="W19" s="20" t="str">
        <f>IF(
   T_Channel[[#This Row],[Safekeeping of logs]]="",
   "",
   VLOOKUP(T_Channel[[#This Row],[Safekeeping of logs]],T_List_LogMode[],2,FALSE)
)</f>
        <v>Circular</v>
      </c>
      <c r="X19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>Domain Controllers-System-Warnings/Unspecific</v>
      </c>
    </row>
    <row r="20" spans="2:24" x14ac:dyDescent="0.45">
      <c r="B20" s="7" t="s">
        <v>63</v>
      </c>
      <c r="C20" s="5" t="s">
        <v>54</v>
      </c>
      <c r="D20" s="5" t="s">
        <v>60</v>
      </c>
      <c r="E20" s="5" t="s">
        <v>56</v>
      </c>
      <c r="F20" s="6" t="s">
        <v>41</v>
      </c>
      <c r="G20" s="6" t="s">
        <v>39</v>
      </c>
      <c r="H20" s="6" t="s">
        <v>79</v>
      </c>
      <c r="I20" s="6" t="s">
        <v>134</v>
      </c>
      <c r="J20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>OK</v>
      </c>
      <c r="K20" s="35" t="s">
        <v>120</v>
      </c>
      <c r="L20" s="5" t="s">
        <v>63</v>
      </c>
      <c r="M20" s="41" t="s">
        <v>134</v>
      </c>
      <c r="N20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>Domain Computers-Application-Criticals</v>
      </c>
      <c r="O20" s="26">
        <f>IF(
   T_Channel[[#This Row],[ProviderName]]="",
   "",
   COUNTIF($N$12:$N$9982,T_Channel[[#This Row],[ProviderName]])
)</f>
        <v>1</v>
      </c>
      <c r="P20" s="26" t="str">
        <f>IF(
   T_Channel[[#This Row],[Check]]&lt;&gt;"OK",
   "",
   IF(
      T_Channel[[#This Row],[Query]]="",
      "Empty",
      "Defined"
   )
)</f>
        <v>Defined</v>
      </c>
      <c r="Q20" s="49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>DCOMP_APP_CRITIC_UNSPECIFIC</v>
      </c>
      <c r="R20" s="19" t="str">
        <f>IF(
   T_Channel[[#This Row],[Query]]="",
   "",
   LEFT(SUBSTITUTE(T_Channel[[#This Row],[Query]],"&lt;Select Path=""","",1),FIND("""",SUBSTITUTE(T_Channel[[#This Row],[Query]],"&lt;Select Path=""","",1))-1)
)</f>
        <v>Application</v>
      </c>
      <c r="S20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>DCOMP_APP_CRITIC_EVENTS</v>
      </c>
      <c r="T2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>D:\EventLogs\Domain Computers\Application</v>
      </c>
      <c r="U20" s="20" t="str">
        <f>IF(
   T_Channel[[#This Row],[Check]]&lt;&gt;"OK",
   "",
   T_Channel[[#This Row],[ChannelSymbol]] &amp; ".evtx"
)</f>
        <v>DCOMP_APP_CRITIC_UNSPECIFIC.evtx</v>
      </c>
      <c r="V20" s="20" t="str">
        <f>IF(
   T_Channel[[#This Row],[Check]]&lt;&gt;"OK",
   "",
   T_Channel[[#This Row],[LogFolder]] &amp; "\" &amp; T_Channel[[#This Row],[LogFile]]
)</f>
        <v>D:\EventLogs\Domain Computers\Application\DCOMP_APP_CRITIC_UNSPECIFIC.evtx</v>
      </c>
      <c r="W20" s="20" t="str">
        <f>IF(
   T_Channel[[#This Row],[Safekeeping of logs]]="",
   "",
   VLOOKUP(T_Channel[[#This Row],[Safekeeping of logs]],T_List_LogMode[],2,FALSE)
)</f>
        <v>AutoBackup</v>
      </c>
      <c r="X20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>Domain Computers-Application-Criticals/Unspecific</v>
      </c>
    </row>
    <row r="21" spans="2:24" x14ac:dyDescent="0.45">
      <c r="B21" s="7" t="s">
        <v>63</v>
      </c>
      <c r="C21" s="5" t="s">
        <v>54</v>
      </c>
      <c r="D21" s="5" t="s">
        <v>59</v>
      </c>
      <c r="E21" s="5" t="s">
        <v>56</v>
      </c>
      <c r="F21" s="6" t="s">
        <v>41</v>
      </c>
      <c r="G21" s="6" t="s">
        <v>39</v>
      </c>
      <c r="H21" s="6" t="s">
        <v>79</v>
      </c>
      <c r="I21" s="6" t="s">
        <v>134</v>
      </c>
      <c r="J21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>OK</v>
      </c>
      <c r="K21" s="35" t="s">
        <v>119</v>
      </c>
      <c r="L21" s="5" t="s">
        <v>63</v>
      </c>
      <c r="M21" s="41" t="s">
        <v>134</v>
      </c>
      <c r="N21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>Domain Computers-Application-Errors</v>
      </c>
      <c r="O21" s="26">
        <f>IF(
   T_Channel[[#This Row],[ProviderName]]="",
   "",
   COUNTIF($N$12:$N$9982,T_Channel[[#This Row],[ProviderName]])
)</f>
        <v>1</v>
      </c>
      <c r="P21" s="26" t="str">
        <f>IF(
   T_Channel[[#This Row],[Check]]&lt;&gt;"OK",
   "",
   IF(
      T_Channel[[#This Row],[Query]]="",
      "Empty",
      "Defined"
   )
)</f>
        <v>Defined</v>
      </c>
      <c r="Q21" s="49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>DCOMP_APP_ERROR_UNSPECIFIC</v>
      </c>
      <c r="R21" s="19" t="str">
        <f>IF(
   T_Channel[[#This Row],[Query]]="",
   "",
   LEFT(SUBSTITUTE(T_Channel[[#This Row],[Query]],"&lt;Select Path=""","",1),FIND("""",SUBSTITUTE(T_Channel[[#This Row],[Query]],"&lt;Select Path=""","",1))-1)
)</f>
        <v>Application</v>
      </c>
      <c r="S21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>DCOMP_APP_ERROR_EVENTS</v>
      </c>
      <c r="T2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>D:\EventLogs\Domain Computers\Application</v>
      </c>
      <c r="U21" s="20" t="str">
        <f>IF(
   T_Channel[[#This Row],[Check]]&lt;&gt;"OK",
   "",
   T_Channel[[#This Row],[ChannelSymbol]] &amp; ".evtx"
)</f>
        <v>DCOMP_APP_ERROR_UNSPECIFIC.evtx</v>
      </c>
      <c r="V21" s="20" t="str">
        <f>IF(
   T_Channel[[#This Row],[Check]]&lt;&gt;"OK",
   "",
   T_Channel[[#This Row],[LogFolder]] &amp; "\" &amp; T_Channel[[#This Row],[LogFile]]
)</f>
        <v>D:\EventLogs\Domain Computers\Application\DCOMP_APP_ERROR_UNSPECIFIC.evtx</v>
      </c>
      <c r="W21" s="20" t="str">
        <f>IF(
   T_Channel[[#This Row],[Safekeeping of logs]]="",
   "",
   VLOOKUP(T_Channel[[#This Row],[Safekeeping of logs]],T_List_LogMode[],2,FALSE)
)</f>
        <v>AutoBackup</v>
      </c>
      <c r="X21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>Domain Computers-Application-Errors/Unspecific</v>
      </c>
    </row>
    <row r="22" spans="2:24" x14ac:dyDescent="0.45">
      <c r="B22" s="7" t="s">
        <v>63</v>
      </c>
      <c r="C22" s="5" t="s">
        <v>54</v>
      </c>
      <c r="D22" s="5" t="s">
        <v>55</v>
      </c>
      <c r="E22" s="5" t="s">
        <v>56</v>
      </c>
      <c r="F22" s="6" t="s">
        <v>41</v>
      </c>
      <c r="G22" s="6" t="s">
        <v>57</v>
      </c>
      <c r="H22" s="6" t="s">
        <v>79</v>
      </c>
      <c r="I22" s="6" t="s">
        <v>134</v>
      </c>
      <c r="J22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>OK</v>
      </c>
      <c r="K22" s="35" t="s">
        <v>117</v>
      </c>
      <c r="L22" s="5" t="s">
        <v>63</v>
      </c>
      <c r="M22" s="41" t="s">
        <v>134</v>
      </c>
      <c r="N22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>Domain Computers-Application-Informations</v>
      </c>
      <c r="O22" s="26">
        <f>IF(
   T_Channel[[#This Row],[ProviderName]]="",
   "",
   COUNTIF($N$12:$N$9982,T_Channel[[#This Row],[ProviderName]])
)</f>
        <v>1</v>
      </c>
      <c r="P22" s="26" t="str">
        <f>IF(
   T_Channel[[#This Row],[Check]]&lt;&gt;"OK",
   "",
   IF(
      T_Channel[[#This Row],[Query]]="",
      "Empty",
      "Defined"
   )
)</f>
        <v>Defined</v>
      </c>
      <c r="Q22" s="49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>DCOMP_APP_INFO_UNSPECIFIC</v>
      </c>
      <c r="R22" s="19" t="str">
        <f>IF(
   T_Channel[[#This Row],[Query]]="",
   "",
   LEFT(SUBSTITUTE(T_Channel[[#This Row],[Query]],"&lt;Select Path=""","",1),FIND("""",SUBSTITUTE(T_Channel[[#This Row],[Query]],"&lt;Select Path=""","",1))-1)
)</f>
        <v>Application</v>
      </c>
      <c r="S22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>DCOMP_APP_INFO_EVENTS</v>
      </c>
      <c r="T2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>D:\EventLogs\Domain Computers\Application</v>
      </c>
      <c r="U22" s="20" t="str">
        <f>IF(
   T_Channel[[#This Row],[Check]]&lt;&gt;"OK",
   "",
   T_Channel[[#This Row],[ChannelSymbol]] &amp; ".evtx"
)</f>
        <v>DCOMP_APP_INFO_UNSPECIFIC.evtx</v>
      </c>
      <c r="V22" s="20" t="str">
        <f>IF(
   T_Channel[[#This Row],[Check]]&lt;&gt;"OK",
   "",
   T_Channel[[#This Row],[LogFolder]] &amp; "\" &amp; T_Channel[[#This Row],[LogFile]]
)</f>
        <v>D:\EventLogs\Domain Computers\Application\DCOMP_APP_INFO_UNSPECIFIC.evtx</v>
      </c>
      <c r="W22" s="20" t="str">
        <f>IF(
   T_Channel[[#This Row],[Safekeeping of logs]]="",
   "",
   VLOOKUP(T_Channel[[#This Row],[Safekeeping of logs]],T_List_LogMode[],2,FALSE)
)</f>
        <v>Circular</v>
      </c>
      <c r="X22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>Domain Computers-Application-Informations/Unspecific</v>
      </c>
    </row>
    <row r="23" spans="2:24" x14ac:dyDescent="0.45">
      <c r="B23" s="7" t="s">
        <v>63</v>
      </c>
      <c r="C23" s="5" t="s">
        <v>54</v>
      </c>
      <c r="D23" s="5" t="s">
        <v>58</v>
      </c>
      <c r="E23" s="5" t="s">
        <v>56</v>
      </c>
      <c r="F23" s="6" t="s">
        <v>41</v>
      </c>
      <c r="G23" s="6" t="s">
        <v>57</v>
      </c>
      <c r="H23" s="6" t="s">
        <v>79</v>
      </c>
      <c r="I23" s="6" t="s">
        <v>134</v>
      </c>
      <c r="J23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>OK</v>
      </c>
      <c r="K23" s="35" t="s">
        <v>118</v>
      </c>
      <c r="L23" s="5" t="s">
        <v>63</v>
      </c>
      <c r="M23" s="41" t="s">
        <v>134</v>
      </c>
      <c r="N23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>Domain Computers-Application-Warnings</v>
      </c>
      <c r="O23" s="26">
        <f>IF(
   T_Channel[[#This Row],[ProviderName]]="",
   "",
   COUNTIF($N$12:$N$9982,T_Channel[[#This Row],[ProviderName]])
)</f>
        <v>1</v>
      </c>
      <c r="P23" s="26" t="str">
        <f>IF(
   T_Channel[[#This Row],[Check]]&lt;&gt;"OK",
   "",
   IF(
      T_Channel[[#This Row],[Query]]="",
      "Empty",
      "Defined"
   )
)</f>
        <v>Defined</v>
      </c>
      <c r="Q23" s="49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>DCOMP_APP_WARN_UNSPECIFIC</v>
      </c>
      <c r="R23" s="19" t="str">
        <f>IF(
   T_Channel[[#This Row],[Query]]="",
   "",
   LEFT(SUBSTITUTE(T_Channel[[#This Row],[Query]],"&lt;Select Path=""","",1),FIND("""",SUBSTITUTE(T_Channel[[#This Row],[Query]],"&lt;Select Path=""","",1))-1)
)</f>
        <v>Application</v>
      </c>
      <c r="S23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>DCOMP_APP_WARN_EVENTS</v>
      </c>
      <c r="T2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>D:\EventLogs\Domain Computers\Application</v>
      </c>
      <c r="U23" s="20" t="str">
        <f>IF(
   T_Channel[[#This Row],[Check]]&lt;&gt;"OK",
   "",
   T_Channel[[#This Row],[ChannelSymbol]] &amp; ".evtx"
)</f>
        <v>DCOMP_APP_WARN_UNSPECIFIC.evtx</v>
      </c>
      <c r="V23" s="20" t="str">
        <f>IF(
   T_Channel[[#This Row],[Check]]&lt;&gt;"OK",
   "",
   T_Channel[[#This Row],[LogFolder]] &amp; "\" &amp; T_Channel[[#This Row],[LogFile]]
)</f>
        <v>D:\EventLogs\Domain Computers\Application\DCOMP_APP_WARN_UNSPECIFIC.evtx</v>
      </c>
      <c r="W23" s="20" t="str">
        <f>IF(
   T_Channel[[#This Row],[Safekeeping of logs]]="",
   "",
   VLOOKUP(T_Channel[[#This Row],[Safekeeping of logs]],T_List_LogMode[],2,FALSE)
)</f>
        <v>Circular</v>
      </c>
      <c r="X23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>Domain Computers-Application-Warnings/Unspecific</v>
      </c>
    </row>
    <row r="24" spans="2:24" x14ac:dyDescent="0.45">
      <c r="B24" s="7" t="s">
        <v>63</v>
      </c>
      <c r="C24" s="5" t="s">
        <v>61</v>
      </c>
      <c r="D24" s="5" t="s">
        <v>60</v>
      </c>
      <c r="E24" s="5" t="s">
        <v>56</v>
      </c>
      <c r="F24" s="6" t="s">
        <v>41</v>
      </c>
      <c r="G24" s="6" t="s">
        <v>39</v>
      </c>
      <c r="H24" s="6" t="s">
        <v>79</v>
      </c>
      <c r="I24" s="6" t="s">
        <v>134</v>
      </c>
      <c r="J24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>OK</v>
      </c>
      <c r="K24" s="35" t="s">
        <v>124</v>
      </c>
      <c r="L24" s="5" t="s">
        <v>63</v>
      </c>
      <c r="M24" s="41" t="s">
        <v>134</v>
      </c>
      <c r="N24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>Domain Computers-System-Criticals</v>
      </c>
      <c r="O24" s="26">
        <f>IF(
   T_Channel[[#This Row],[ProviderName]]="",
   "",
   COUNTIF($N$12:$N$9982,T_Channel[[#This Row],[ProviderName]])
)</f>
        <v>1</v>
      </c>
      <c r="P24" s="26" t="str">
        <f>IF(
   T_Channel[[#This Row],[Check]]&lt;&gt;"OK",
   "",
   IF(
      T_Channel[[#This Row],[Query]]="",
      "Empty",
      "Defined"
   )
)</f>
        <v>Defined</v>
      </c>
      <c r="Q24" s="49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>DCOMP_SYS_CRITIC_UNSPECIFIC</v>
      </c>
      <c r="R24" s="19" t="str">
        <f>IF(
   T_Channel[[#This Row],[Query]]="",
   "",
   LEFT(SUBSTITUTE(T_Channel[[#This Row],[Query]],"&lt;Select Path=""","",1),FIND("""",SUBSTITUTE(T_Channel[[#This Row],[Query]],"&lt;Select Path=""","",1))-1)
)</f>
        <v>System</v>
      </c>
      <c r="S24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>DCOMP_SYS_CRITIC_EVENTS</v>
      </c>
      <c r="T2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>D:\EventLogs\Domain Computers\System</v>
      </c>
      <c r="U24" s="20" t="str">
        <f>IF(
   T_Channel[[#This Row],[Check]]&lt;&gt;"OK",
   "",
   T_Channel[[#This Row],[ChannelSymbol]] &amp; ".evtx"
)</f>
        <v>DCOMP_SYS_CRITIC_UNSPECIFIC.evtx</v>
      </c>
      <c r="V24" s="20" t="str">
        <f>IF(
   T_Channel[[#This Row],[Check]]&lt;&gt;"OK",
   "",
   T_Channel[[#This Row],[LogFolder]] &amp; "\" &amp; T_Channel[[#This Row],[LogFile]]
)</f>
        <v>D:\EventLogs\Domain Computers\System\DCOMP_SYS_CRITIC_UNSPECIFIC.evtx</v>
      </c>
      <c r="W24" s="20" t="str">
        <f>IF(
   T_Channel[[#This Row],[Safekeeping of logs]]="",
   "",
   VLOOKUP(T_Channel[[#This Row],[Safekeeping of logs]],T_List_LogMode[],2,FALSE)
)</f>
        <v>AutoBackup</v>
      </c>
      <c r="X24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>Domain Computers-System-Criticals/Unspecific</v>
      </c>
    </row>
    <row r="25" spans="2:24" x14ac:dyDescent="0.45">
      <c r="B25" s="7" t="s">
        <v>63</v>
      </c>
      <c r="C25" s="5" t="s">
        <v>61</v>
      </c>
      <c r="D25" s="5" t="s">
        <v>59</v>
      </c>
      <c r="E25" s="5" t="s">
        <v>56</v>
      </c>
      <c r="F25" s="6" t="s">
        <v>41</v>
      </c>
      <c r="G25" s="6" t="s">
        <v>39</v>
      </c>
      <c r="H25" s="6" t="s">
        <v>79</v>
      </c>
      <c r="I25" s="6" t="s">
        <v>134</v>
      </c>
      <c r="J25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>OK</v>
      </c>
      <c r="K25" s="35" t="s">
        <v>123</v>
      </c>
      <c r="L25" s="5" t="s">
        <v>63</v>
      </c>
      <c r="M25" s="41" t="s">
        <v>134</v>
      </c>
      <c r="N25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>Domain Computers-System-Errors</v>
      </c>
      <c r="O25" s="26">
        <f>IF(
   T_Channel[[#This Row],[ProviderName]]="",
   "",
   COUNTIF($N$12:$N$9982,T_Channel[[#This Row],[ProviderName]])
)</f>
        <v>1</v>
      </c>
      <c r="P25" s="26" t="str">
        <f>IF(
   T_Channel[[#This Row],[Check]]&lt;&gt;"OK",
   "",
   IF(
      T_Channel[[#This Row],[Query]]="",
      "Empty",
      "Defined"
   )
)</f>
        <v>Defined</v>
      </c>
      <c r="Q25" s="49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>DCOMP_SYS_ERROR_UNSPECIFIC</v>
      </c>
      <c r="R25" s="19" t="str">
        <f>IF(
   T_Channel[[#This Row],[Query]]="",
   "",
   LEFT(SUBSTITUTE(T_Channel[[#This Row],[Query]],"&lt;Select Path=""","",1),FIND("""",SUBSTITUTE(T_Channel[[#This Row],[Query]],"&lt;Select Path=""","",1))-1)
)</f>
        <v>System</v>
      </c>
      <c r="S25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>DCOMP_SYS_ERROR_EVENTS</v>
      </c>
      <c r="T2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>D:\EventLogs\Domain Computers\System</v>
      </c>
      <c r="U25" s="20" t="str">
        <f>IF(
   T_Channel[[#This Row],[Check]]&lt;&gt;"OK",
   "",
   T_Channel[[#This Row],[ChannelSymbol]] &amp; ".evtx"
)</f>
        <v>DCOMP_SYS_ERROR_UNSPECIFIC.evtx</v>
      </c>
      <c r="V25" s="20" t="str">
        <f>IF(
   T_Channel[[#This Row],[Check]]&lt;&gt;"OK",
   "",
   T_Channel[[#This Row],[LogFolder]] &amp; "\" &amp; T_Channel[[#This Row],[LogFile]]
)</f>
        <v>D:\EventLogs\Domain Computers\System\DCOMP_SYS_ERROR_UNSPECIFIC.evtx</v>
      </c>
      <c r="W25" s="20" t="str">
        <f>IF(
   T_Channel[[#This Row],[Safekeeping of logs]]="",
   "",
   VLOOKUP(T_Channel[[#This Row],[Safekeeping of logs]],T_List_LogMode[],2,FALSE)
)</f>
        <v>AutoBackup</v>
      </c>
      <c r="X25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>Domain Computers-System-Errors/Unspecific</v>
      </c>
    </row>
    <row r="26" spans="2:24" x14ac:dyDescent="0.45">
      <c r="B26" s="7" t="s">
        <v>63</v>
      </c>
      <c r="C26" s="5" t="s">
        <v>61</v>
      </c>
      <c r="D26" s="5" t="s">
        <v>55</v>
      </c>
      <c r="E26" s="5" t="s">
        <v>56</v>
      </c>
      <c r="F26" s="6" t="s">
        <v>41</v>
      </c>
      <c r="G26" s="6" t="s">
        <v>57</v>
      </c>
      <c r="H26" s="6" t="s">
        <v>79</v>
      </c>
      <c r="I26" s="6" t="s">
        <v>134</v>
      </c>
      <c r="J26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>OK</v>
      </c>
      <c r="K26" s="35" t="s">
        <v>121</v>
      </c>
      <c r="L26" s="5" t="s">
        <v>63</v>
      </c>
      <c r="M26" s="41" t="s">
        <v>134</v>
      </c>
      <c r="N26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>Domain Computers-System-Informations</v>
      </c>
      <c r="O26" s="26">
        <f>IF(
   T_Channel[[#This Row],[ProviderName]]="",
   "",
   COUNTIF($N$12:$N$9982,T_Channel[[#This Row],[ProviderName]])
)</f>
        <v>1</v>
      </c>
      <c r="P26" s="26" t="str">
        <f>IF(
   T_Channel[[#This Row],[Check]]&lt;&gt;"OK",
   "",
   IF(
      T_Channel[[#This Row],[Query]]="",
      "Empty",
      "Defined"
   )
)</f>
        <v>Defined</v>
      </c>
      <c r="Q26" s="49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>DCOMP_SYS_INFO_UNSPECIFIC</v>
      </c>
      <c r="R26" s="19" t="str">
        <f>IF(
   T_Channel[[#This Row],[Query]]="",
   "",
   LEFT(SUBSTITUTE(T_Channel[[#This Row],[Query]],"&lt;Select Path=""","",1),FIND("""",SUBSTITUTE(T_Channel[[#This Row],[Query]],"&lt;Select Path=""","",1))-1)
)</f>
        <v>System</v>
      </c>
      <c r="S26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>DCOMP_SYS_INFO_EVENTS</v>
      </c>
      <c r="T2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>D:\EventLogs\Domain Computers\System</v>
      </c>
      <c r="U26" s="20" t="str">
        <f>IF(
   T_Channel[[#This Row],[Check]]&lt;&gt;"OK",
   "",
   T_Channel[[#This Row],[ChannelSymbol]] &amp; ".evtx"
)</f>
        <v>DCOMP_SYS_INFO_UNSPECIFIC.evtx</v>
      </c>
      <c r="V26" s="20" t="str">
        <f>IF(
   T_Channel[[#This Row],[Check]]&lt;&gt;"OK",
   "",
   T_Channel[[#This Row],[LogFolder]] &amp; "\" &amp; T_Channel[[#This Row],[LogFile]]
)</f>
        <v>D:\EventLogs\Domain Computers\System\DCOMP_SYS_INFO_UNSPECIFIC.evtx</v>
      </c>
      <c r="W26" s="20" t="str">
        <f>IF(
   T_Channel[[#This Row],[Safekeeping of logs]]="",
   "",
   VLOOKUP(T_Channel[[#This Row],[Safekeeping of logs]],T_List_LogMode[],2,FALSE)
)</f>
        <v>Circular</v>
      </c>
      <c r="X26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>Domain Computers-System-Informations/Unspecific</v>
      </c>
    </row>
    <row r="27" spans="2:24" x14ac:dyDescent="0.45">
      <c r="B27" s="7" t="s">
        <v>63</v>
      </c>
      <c r="C27" s="5" t="s">
        <v>61</v>
      </c>
      <c r="D27" s="5" t="s">
        <v>58</v>
      </c>
      <c r="E27" s="5" t="s">
        <v>56</v>
      </c>
      <c r="F27" s="6" t="s">
        <v>41</v>
      </c>
      <c r="G27" s="6" t="s">
        <v>57</v>
      </c>
      <c r="H27" s="6" t="s">
        <v>79</v>
      </c>
      <c r="I27" s="6" t="s">
        <v>134</v>
      </c>
      <c r="J27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>OK</v>
      </c>
      <c r="K27" s="35" t="s">
        <v>122</v>
      </c>
      <c r="L27" s="5" t="s">
        <v>63</v>
      </c>
      <c r="M27" s="41" t="s">
        <v>134</v>
      </c>
      <c r="N27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>Domain Computers-System-Warnings</v>
      </c>
      <c r="O27" s="26">
        <f>IF(
   T_Channel[[#This Row],[ProviderName]]="",
   "",
   COUNTIF($N$12:$N$9982,T_Channel[[#This Row],[ProviderName]])
)</f>
        <v>1</v>
      </c>
      <c r="P27" s="26" t="str">
        <f>IF(
   T_Channel[[#This Row],[Check]]&lt;&gt;"OK",
   "",
   IF(
      T_Channel[[#This Row],[Query]]="",
      "Empty",
      "Defined"
   )
)</f>
        <v>Defined</v>
      </c>
      <c r="Q27" s="49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>DCOMP_SYS_WARN_UNSPECIFIC</v>
      </c>
      <c r="R27" s="19" t="str">
        <f>IF(
   T_Channel[[#This Row],[Query]]="",
   "",
   LEFT(SUBSTITUTE(T_Channel[[#This Row],[Query]],"&lt;Select Path=""","",1),FIND("""",SUBSTITUTE(T_Channel[[#This Row],[Query]],"&lt;Select Path=""","",1))-1)
)</f>
        <v>System</v>
      </c>
      <c r="S27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>DCOMP_SYS_WARN_EVENTS</v>
      </c>
      <c r="T2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>D:\EventLogs\Domain Computers\System</v>
      </c>
      <c r="U27" s="20" t="str">
        <f>IF(
   T_Channel[[#This Row],[Check]]&lt;&gt;"OK",
   "",
   T_Channel[[#This Row],[ChannelSymbol]] &amp; ".evtx"
)</f>
        <v>DCOMP_SYS_WARN_UNSPECIFIC.evtx</v>
      </c>
      <c r="V27" s="20" t="str">
        <f>IF(
   T_Channel[[#This Row],[Check]]&lt;&gt;"OK",
   "",
   T_Channel[[#This Row],[LogFolder]] &amp; "\" &amp; T_Channel[[#This Row],[LogFile]]
)</f>
        <v>D:\EventLogs\Domain Computers\System\DCOMP_SYS_WARN_UNSPECIFIC.evtx</v>
      </c>
      <c r="W27" s="20" t="str">
        <f>IF(
   T_Channel[[#This Row],[Safekeeping of logs]]="",
   "",
   VLOOKUP(T_Channel[[#This Row],[Safekeeping of logs]],T_List_LogMode[],2,FALSE)
)</f>
        <v>Circular</v>
      </c>
      <c r="X27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>Domain Computers-System-Warnings/Unspecific</v>
      </c>
    </row>
    <row r="28" spans="2:24" x14ac:dyDescent="0.45">
      <c r="B28" s="7"/>
      <c r="C28" s="5"/>
      <c r="D28" s="5"/>
      <c r="E28" s="5"/>
      <c r="F28" s="6"/>
      <c r="G28" s="6"/>
      <c r="H28" s="6"/>
      <c r="I28" s="6"/>
      <c r="J28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28" s="13"/>
      <c r="L28" s="5"/>
      <c r="M28" s="41"/>
      <c r="N28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28" s="26" t="str">
        <f>IF(
   T_Channel[[#This Row],[ProviderName]]="",
   "",
   COUNTIF($N$12:$N$9982,T_Channel[[#This Row],[ProviderName]])
)</f>
        <v/>
      </c>
      <c r="P28" s="26" t="str">
        <f>IF(
   T_Channel[[#This Row],[Check]]&lt;&gt;"OK",
   "",
   IF(
      T_Channel[[#This Row],[Query]]="",
      "Empty",
      "Defined"
   )
)</f>
        <v/>
      </c>
      <c r="Q28" s="49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28" s="19" t="str">
        <f>IF(
   T_Channel[[#This Row],[Query]]="",
   "",
   LEFT(SUBSTITUTE(T_Channel[[#This Row],[Query]],"&lt;Select Path=""","",1),FIND("""",SUBSTITUTE(T_Channel[[#This Row],[Query]],"&lt;Select Path=""","",1))-1)
)</f>
        <v/>
      </c>
      <c r="S28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2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28" s="20" t="str">
        <f>IF(
   T_Channel[[#This Row],[Check]]&lt;&gt;"OK",
   "",
   T_Channel[[#This Row],[ChannelSymbol]] &amp; ".evtx"
)</f>
        <v/>
      </c>
      <c r="V28" s="20" t="str">
        <f>IF(
   T_Channel[[#This Row],[Check]]&lt;&gt;"OK",
   "",
   T_Channel[[#This Row],[LogFolder]] &amp; "\" &amp; T_Channel[[#This Row],[LogFile]]
)</f>
        <v/>
      </c>
      <c r="W28" s="20" t="str">
        <f>IF(
   T_Channel[[#This Row],[Safekeeping of logs]]="",
   "",
   VLOOKUP(T_Channel[[#This Row],[Safekeeping of logs]],T_List_LogMode[],2,FALSE)
)</f>
        <v/>
      </c>
      <c r="X28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29" spans="2:24" x14ac:dyDescent="0.45">
      <c r="B29" s="7"/>
      <c r="C29" s="5"/>
      <c r="D29" s="5"/>
      <c r="E29" s="5"/>
      <c r="F29" s="6"/>
      <c r="G29" s="6"/>
      <c r="H29" s="6"/>
      <c r="I29" s="6"/>
      <c r="J29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29" s="13"/>
      <c r="L29" s="5"/>
      <c r="M29" s="41"/>
      <c r="N29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29" s="26" t="str">
        <f>IF(
   T_Channel[[#This Row],[ProviderName]]="",
   "",
   COUNTIF($N$12:$N$9982,T_Channel[[#This Row],[ProviderName]])
)</f>
        <v/>
      </c>
      <c r="P29" s="26" t="str">
        <f>IF(
   T_Channel[[#This Row],[Check]]&lt;&gt;"OK",
   "",
   IF(
      T_Channel[[#This Row],[Query]]="",
      "Empty",
      "Defined"
   )
)</f>
        <v/>
      </c>
      <c r="Q29" s="49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29" s="19" t="str">
        <f>IF(
   T_Channel[[#This Row],[Query]]="",
   "",
   LEFT(SUBSTITUTE(T_Channel[[#This Row],[Query]],"&lt;Select Path=""","",1),FIND("""",SUBSTITUTE(T_Channel[[#This Row],[Query]],"&lt;Select Path=""","",1))-1)
)</f>
        <v/>
      </c>
      <c r="S29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2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29" s="20" t="str">
        <f>IF(
   T_Channel[[#This Row],[Check]]&lt;&gt;"OK",
   "",
   T_Channel[[#This Row],[ChannelSymbol]] &amp; ".evtx"
)</f>
        <v/>
      </c>
      <c r="V29" s="20" t="str">
        <f>IF(
   T_Channel[[#This Row],[Check]]&lt;&gt;"OK",
   "",
   T_Channel[[#This Row],[LogFolder]] &amp; "\" &amp; T_Channel[[#This Row],[LogFile]]
)</f>
        <v/>
      </c>
      <c r="W29" s="20" t="str">
        <f>IF(
   T_Channel[[#This Row],[Safekeeping of logs]]="",
   "",
   VLOOKUP(T_Channel[[#This Row],[Safekeeping of logs]],T_List_LogMode[],2,FALSE)
)</f>
        <v/>
      </c>
      <c r="X29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30" spans="2:24" x14ac:dyDescent="0.45">
      <c r="B30" s="7"/>
      <c r="C30" s="5"/>
      <c r="D30" s="5"/>
      <c r="E30" s="5"/>
      <c r="F30" s="6"/>
      <c r="G30" s="6"/>
      <c r="H30" s="6"/>
      <c r="I30" s="6"/>
      <c r="J30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30" s="13"/>
      <c r="L30" s="5"/>
      <c r="M30" s="41"/>
      <c r="N30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30" s="26" t="str">
        <f>IF(
   T_Channel[[#This Row],[ProviderName]]="",
   "",
   COUNTIF($N$12:$N$9982,T_Channel[[#This Row],[ProviderName]])
)</f>
        <v/>
      </c>
      <c r="P30" s="26" t="str">
        <f>IF(
   T_Channel[[#This Row],[Check]]&lt;&gt;"OK",
   "",
   IF(
      T_Channel[[#This Row],[Query]]="",
      "Empty",
      "Defined"
   )
)</f>
        <v/>
      </c>
      <c r="Q30" s="49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30" s="19" t="str">
        <f>IF(
   T_Channel[[#This Row],[Query]]="",
   "",
   LEFT(SUBSTITUTE(T_Channel[[#This Row],[Query]],"&lt;Select Path=""","",1),FIND("""",SUBSTITUTE(T_Channel[[#This Row],[Query]],"&lt;Select Path=""","",1))-1)
)</f>
        <v/>
      </c>
      <c r="S30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3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30" s="20" t="str">
        <f>IF(
   T_Channel[[#This Row],[Check]]&lt;&gt;"OK",
   "",
   T_Channel[[#This Row],[ChannelSymbol]] &amp; ".evtx"
)</f>
        <v/>
      </c>
      <c r="V30" s="20" t="str">
        <f>IF(
   T_Channel[[#This Row],[Check]]&lt;&gt;"OK",
   "",
   T_Channel[[#This Row],[LogFolder]] &amp; "\" &amp; T_Channel[[#This Row],[LogFile]]
)</f>
        <v/>
      </c>
      <c r="W30" s="20" t="str">
        <f>IF(
   T_Channel[[#This Row],[Safekeeping of logs]]="",
   "",
   VLOOKUP(T_Channel[[#This Row],[Safekeeping of logs]],T_List_LogMode[],2,FALSE)
)</f>
        <v/>
      </c>
      <c r="X30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31" spans="2:24" x14ac:dyDescent="0.45">
      <c r="B31" s="7"/>
      <c r="C31" s="5"/>
      <c r="D31" s="5"/>
      <c r="E31" s="5"/>
      <c r="F31" s="6"/>
      <c r="G31" s="6"/>
      <c r="H31" s="6"/>
      <c r="I31" s="6"/>
      <c r="J31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31" s="13"/>
      <c r="L31" s="5"/>
      <c r="M31" s="41"/>
      <c r="N31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31" s="26" t="str">
        <f>IF(
   T_Channel[[#This Row],[ProviderName]]="",
   "",
   COUNTIF($N$12:$N$9982,T_Channel[[#This Row],[ProviderName]])
)</f>
        <v/>
      </c>
      <c r="P31" s="26" t="str">
        <f>IF(
   T_Channel[[#This Row],[Check]]&lt;&gt;"OK",
   "",
   IF(
      T_Channel[[#This Row],[Query]]="",
      "Empty",
      "Defined"
   )
)</f>
        <v/>
      </c>
      <c r="Q31" s="49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31" s="19" t="str">
        <f>IF(
   T_Channel[[#This Row],[Query]]="",
   "",
   LEFT(SUBSTITUTE(T_Channel[[#This Row],[Query]],"&lt;Select Path=""","",1),FIND("""",SUBSTITUTE(T_Channel[[#This Row],[Query]],"&lt;Select Path=""","",1))-1)
)</f>
        <v/>
      </c>
      <c r="S31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3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31" s="20" t="str">
        <f>IF(
   T_Channel[[#This Row],[Check]]&lt;&gt;"OK",
   "",
   T_Channel[[#This Row],[ChannelSymbol]] &amp; ".evtx"
)</f>
        <v/>
      </c>
      <c r="V31" s="20" t="str">
        <f>IF(
   T_Channel[[#This Row],[Check]]&lt;&gt;"OK",
   "",
   T_Channel[[#This Row],[LogFolder]] &amp; "\" &amp; T_Channel[[#This Row],[LogFile]]
)</f>
        <v/>
      </c>
      <c r="W31" s="20" t="str">
        <f>IF(
   T_Channel[[#This Row],[Safekeeping of logs]]="",
   "",
   VLOOKUP(T_Channel[[#This Row],[Safekeeping of logs]],T_List_LogMode[],2,FALSE)
)</f>
        <v/>
      </c>
      <c r="X31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32" spans="2:24" x14ac:dyDescent="0.45">
      <c r="B32" s="7"/>
      <c r="C32" s="5"/>
      <c r="D32" s="5"/>
      <c r="E32" s="5"/>
      <c r="F32" s="6"/>
      <c r="G32" s="6"/>
      <c r="H32" s="6"/>
      <c r="I32" s="6"/>
      <c r="J32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32" s="13"/>
      <c r="L32" s="5"/>
      <c r="M32" s="41"/>
      <c r="N32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32" s="26" t="str">
        <f>IF(
   T_Channel[[#This Row],[ProviderName]]="",
   "",
   COUNTIF($N$12:$N$9982,T_Channel[[#This Row],[ProviderName]])
)</f>
        <v/>
      </c>
      <c r="P32" s="26" t="str">
        <f>IF(
   T_Channel[[#This Row],[Check]]&lt;&gt;"OK",
   "",
   IF(
      T_Channel[[#This Row],[Query]]="",
      "Empty",
      "Defined"
   )
)</f>
        <v/>
      </c>
      <c r="Q32" s="49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32" s="19" t="str">
        <f>IF(
   T_Channel[[#This Row],[Query]]="",
   "",
   LEFT(SUBSTITUTE(T_Channel[[#This Row],[Query]],"&lt;Select Path=""","",1),FIND("""",SUBSTITUTE(T_Channel[[#This Row],[Query]],"&lt;Select Path=""","",1))-1)
)</f>
        <v/>
      </c>
      <c r="S32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3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32" s="20" t="str">
        <f>IF(
   T_Channel[[#This Row],[Check]]&lt;&gt;"OK",
   "",
   T_Channel[[#This Row],[ChannelSymbol]] &amp; ".evtx"
)</f>
        <v/>
      </c>
      <c r="V32" s="20" t="str">
        <f>IF(
   T_Channel[[#This Row],[Check]]&lt;&gt;"OK",
   "",
   T_Channel[[#This Row],[LogFolder]] &amp; "\" &amp; T_Channel[[#This Row],[LogFile]]
)</f>
        <v/>
      </c>
      <c r="W32" s="20" t="str">
        <f>IF(
   T_Channel[[#This Row],[Safekeeping of logs]]="",
   "",
   VLOOKUP(T_Channel[[#This Row],[Safekeeping of logs]],T_List_LogMode[],2,FALSE)
)</f>
        <v/>
      </c>
      <c r="X32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33" spans="2:24" x14ac:dyDescent="0.45">
      <c r="B33" s="7"/>
      <c r="C33" s="5"/>
      <c r="D33" s="5"/>
      <c r="E33" s="5"/>
      <c r="F33" s="6"/>
      <c r="G33" s="6"/>
      <c r="H33" s="6"/>
      <c r="I33" s="6"/>
      <c r="J33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33" s="13"/>
      <c r="L33" s="5"/>
      <c r="M33" s="41"/>
      <c r="N33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33" s="26" t="str">
        <f>IF(
   T_Channel[[#This Row],[ProviderName]]="",
   "",
   COUNTIF($N$12:$N$9982,T_Channel[[#This Row],[ProviderName]])
)</f>
        <v/>
      </c>
      <c r="P33" s="26" t="str">
        <f>IF(
   T_Channel[[#This Row],[Check]]&lt;&gt;"OK",
   "",
   IF(
      T_Channel[[#This Row],[Query]]="",
      "Empty",
      "Defined"
   )
)</f>
        <v/>
      </c>
      <c r="Q33" s="49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33" s="19" t="str">
        <f>IF(
   T_Channel[[#This Row],[Query]]="",
   "",
   LEFT(SUBSTITUTE(T_Channel[[#This Row],[Query]],"&lt;Select Path=""","",1),FIND("""",SUBSTITUTE(T_Channel[[#This Row],[Query]],"&lt;Select Path=""","",1))-1)
)</f>
        <v/>
      </c>
      <c r="S33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3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33" s="20" t="str">
        <f>IF(
   T_Channel[[#This Row],[Check]]&lt;&gt;"OK",
   "",
   T_Channel[[#This Row],[ChannelSymbol]] &amp; ".evtx"
)</f>
        <v/>
      </c>
      <c r="V33" s="20" t="str">
        <f>IF(
   T_Channel[[#This Row],[Check]]&lt;&gt;"OK",
   "",
   T_Channel[[#This Row],[LogFolder]] &amp; "\" &amp; T_Channel[[#This Row],[LogFile]]
)</f>
        <v/>
      </c>
      <c r="W33" s="20" t="str">
        <f>IF(
   T_Channel[[#This Row],[Safekeeping of logs]]="",
   "",
   VLOOKUP(T_Channel[[#This Row],[Safekeeping of logs]],T_List_LogMode[],2,FALSE)
)</f>
        <v/>
      </c>
      <c r="X33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34" spans="2:24" x14ac:dyDescent="0.45">
      <c r="B34" s="7"/>
      <c r="C34" s="5"/>
      <c r="D34" s="5"/>
      <c r="E34" s="5"/>
      <c r="F34" s="6"/>
      <c r="G34" s="6"/>
      <c r="H34" s="6"/>
      <c r="I34" s="6"/>
      <c r="J34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34" s="13"/>
      <c r="L34" s="5"/>
      <c r="M34" s="41"/>
      <c r="N34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34" s="26" t="str">
        <f>IF(
   T_Channel[[#This Row],[ProviderName]]="",
   "",
   COUNTIF($N$12:$N$9982,T_Channel[[#This Row],[ProviderName]])
)</f>
        <v/>
      </c>
      <c r="P34" s="26" t="str">
        <f>IF(
   T_Channel[[#This Row],[Check]]&lt;&gt;"OK",
   "",
   IF(
      T_Channel[[#This Row],[Query]]="",
      "Empty",
      "Defined"
   )
)</f>
        <v/>
      </c>
      <c r="Q34" s="49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34" s="19" t="str">
        <f>IF(
   T_Channel[[#This Row],[Query]]="",
   "",
   LEFT(SUBSTITUTE(T_Channel[[#This Row],[Query]],"&lt;Select Path=""","",1),FIND("""",SUBSTITUTE(T_Channel[[#This Row],[Query]],"&lt;Select Path=""","",1))-1)
)</f>
        <v/>
      </c>
      <c r="S34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3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34" s="20" t="str">
        <f>IF(
   T_Channel[[#This Row],[Check]]&lt;&gt;"OK",
   "",
   T_Channel[[#This Row],[ChannelSymbol]] &amp; ".evtx"
)</f>
        <v/>
      </c>
      <c r="V34" s="20" t="str">
        <f>IF(
   T_Channel[[#This Row],[Check]]&lt;&gt;"OK",
   "",
   T_Channel[[#This Row],[LogFolder]] &amp; "\" &amp; T_Channel[[#This Row],[LogFile]]
)</f>
        <v/>
      </c>
      <c r="W34" s="20" t="str">
        <f>IF(
   T_Channel[[#This Row],[Safekeeping of logs]]="",
   "",
   VLOOKUP(T_Channel[[#This Row],[Safekeeping of logs]],T_List_LogMode[],2,FALSE)
)</f>
        <v/>
      </c>
      <c r="X34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35" spans="2:24" x14ac:dyDescent="0.45">
      <c r="B35" s="7"/>
      <c r="C35" s="5"/>
      <c r="D35" s="5"/>
      <c r="E35" s="5"/>
      <c r="F35" s="6"/>
      <c r="G35" s="6"/>
      <c r="H35" s="6"/>
      <c r="I35" s="6"/>
      <c r="J35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35" s="13"/>
      <c r="L35" s="5"/>
      <c r="M35" s="41"/>
      <c r="N35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35" s="26" t="str">
        <f>IF(
   T_Channel[[#This Row],[ProviderName]]="",
   "",
   COUNTIF($N$12:$N$9982,T_Channel[[#This Row],[ProviderName]])
)</f>
        <v/>
      </c>
      <c r="P35" s="26" t="str">
        <f>IF(
   T_Channel[[#This Row],[Check]]&lt;&gt;"OK",
   "",
   IF(
      T_Channel[[#This Row],[Query]]="",
      "Empty",
      "Defined"
   )
)</f>
        <v/>
      </c>
      <c r="Q35" s="49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35" s="19" t="str">
        <f>IF(
   T_Channel[[#This Row],[Query]]="",
   "",
   LEFT(SUBSTITUTE(T_Channel[[#This Row],[Query]],"&lt;Select Path=""","",1),FIND("""",SUBSTITUTE(T_Channel[[#This Row],[Query]],"&lt;Select Path=""","",1))-1)
)</f>
        <v/>
      </c>
      <c r="S35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3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35" s="20" t="str">
        <f>IF(
   T_Channel[[#This Row],[Check]]&lt;&gt;"OK",
   "",
   T_Channel[[#This Row],[ChannelSymbol]] &amp; ".evtx"
)</f>
        <v/>
      </c>
      <c r="V35" s="20" t="str">
        <f>IF(
   T_Channel[[#This Row],[Check]]&lt;&gt;"OK",
   "",
   T_Channel[[#This Row],[LogFolder]] &amp; "\" &amp; T_Channel[[#This Row],[LogFile]]
)</f>
        <v/>
      </c>
      <c r="W35" s="20" t="str">
        <f>IF(
   T_Channel[[#This Row],[Safekeeping of logs]]="",
   "",
   VLOOKUP(T_Channel[[#This Row],[Safekeeping of logs]],T_List_LogMode[],2,FALSE)
)</f>
        <v/>
      </c>
      <c r="X35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36" spans="2:24" x14ac:dyDescent="0.45">
      <c r="B36" s="7"/>
      <c r="C36" s="5"/>
      <c r="D36" s="5"/>
      <c r="E36" s="5"/>
      <c r="F36" s="6"/>
      <c r="G36" s="6"/>
      <c r="H36" s="6"/>
      <c r="I36" s="6"/>
      <c r="J36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36" s="13"/>
      <c r="L36" s="5"/>
      <c r="M36" s="41"/>
      <c r="N36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36" s="26" t="str">
        <f>IF(
   T_Channel[[#This Row],[ProviderName]]="",
   "",
   COUNTIF($N$12:$N$9982,T_Channel[[#This Row],[ProviderName]])
)</f>
        <v/>
      </c>
      <c r="P36" s="26" t="str">
        <f>IF(
   T_Channel[[#This Row],[Check]]&lt;&gt;"OK",
   "",
   IF(
      T_Channel[[#This Row],[Query]]="",
      "Empty",
      "Defined"
   )
)</f>
        <v/>
      </c>
      <c r="Q36" s="49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36" s="19" t="str">
        <f>IF(
   T_Channel[[#This Row],[Query]]="",
   "",
   LEFT(SUBSTITUTE(T_Channel[[#This Row],[Query]],"&lt;Select Path=""","",1),FIND("""",SUBSTITUTE(T_Channel[[#This Row],[Query]],"&lt;Select Path=""","",1))-1)
)</f>
        <v/>
      </c>
      <c r="S36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3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36" s="20" t="str">
        <f>IF(
   T_Channel[[#This Row],[Check]]&lt;&gt;"OK",
   "",
   T_Channel[[#This Row],[ChannelSymbol]] &amp; ".evtx"
)</f>
        <v/>
      </c>
      <c r="V36" s="20" t="str">
        <f>IF(
   T_Channel[[#This Row],[Check]]&lt;&gt;"OK",
   "",
   T_Channel[[#This Row],[LogFolder]] &amp; "\" &amp; T_Channel[[#This Row],[LogFile]]
)</f>
        <v/>
      </c>
      <c r="W36" s="20" t="str">
        <f>IF(
   T_Channel[[#This Row],[Safekeeping of logs]]="",
   "",
   VLOOKUP(T_Channel[[#This Row],[Safekeeping of logs]],T_List_LogMode[],2,FALSE)
)</f>
        <v/>
      </c>
      <c r="X36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37" spans="2:24" x14ac:dyDescent="0.45">
      <c r="B37" s="7"/>
      <c r="C37" s="5"/>
      <c r="D37" s="5"/>
      <c r="E37" s="5"/>
      <c r="F37" s="6"/>
      <c r="G37" s="6"/>
      <c r="H37" s="6"/>
      <c r="I37" s="6"/>
      <c r="J37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37" s="13"/>
      <c r="L37" s="5"/>
      <c r="M37" s="41"/>
      <c r="N37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37" s="26" t="str">
        <f>IF(
   T_Channel[[#This Row],[ProviderName]]="",
   "",
   COUNTIF($N$12:$N$9982,T_Channel[[#This Row],[ProviderName]])
)</f>
        <v/>
      </c>
      <c r="P37" s="26" t="str">
        <f>IF(
   T_Channel[[#This Row],[Check]]&lt;&gt;"OK",
   "",
   IF(
      T_Channel[[#This Row],[Query]]="",
      "Empty",
      "Defined"
   )
)</f>
        <v/>
      </c>
      <c r="Q37" s="49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37" s="19" t="str">
        <f>IF(
   T_Channel[[#This Row],[Query]]="",
   "",
   LEFT(SUBSTITUTE(T_Channel[[#This Row],[Query]],"&lt;Select Path=""","",1),FIND("""",SUBSTITUTE(T_Channel[[#This Row],[Query]],"&lt;Select Path=""","",1))-1)
)</f>
        <v/>
      </c>
      <c r="S37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3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37" s="20" t="str">
        <f>IF(
   T_Channel[[#This Row],[Check]]&lt;&gt;"OK",
   "",
   T_Channel[[#This Row],[ChannelSymbol]] &amp; ".evtx"
)</f>
        <v/>
      </c>
      <c r="V37" s="20" t="str">
        <f>IF(
   T_Channel[[#This Row],[Check]]&lt;&gt;"OK",
   "",
   T_Channel[[#This Row],[LogFolder]] &amp; "\" &amp; T_Channel[[#This Row],[LogFile]]
)</f>
        <v/>
      </c>
      <c r="W37" s="20" t="str">
        <f>IF(
   T_Channel[[#This Row],[Safekeeping of logs]]="",
   "",
   VLOOKUP(T_Channel[[#This Row],[Safekeeping of logs]],T_List_LogMode[],2,FALSE)
)</f>
        <v/>
      </c>
      <c r="X37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38" spans="2:24" x14ac:dyDescent="0.45">
      <c r="B38" s="7"/>
      <c r="C38" s="5"/>
      <c r="D38" s="5"/>
      <c r="E38" s="5"/>
      <c r="F38" s="6"/>
      <c r="G38" s="6"/>
      <c r="H38" s="6"/>
      <c r="I38" s="6"/>
      <c r="J38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38" s="13"/>
      <c r="L38" s="5"/>
      <c r="M38" s="41"/>
      <c r="N38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38" s="26" t="str">
        <f>IF(
   T_Channel[[#This Row],[ProviderName]]="",
   "",
   COUNTIF($N$12:$N$9982,T_Channel[[#This Row],[ProviderName]])
)</f>
        <v/>
      </c>
      <c r="P38" s="26" t="str">
        <f>IF(
   T_Channel[[#This Row],[Check]]&lt;&gt;"OK",
   "",
   IF(
      T_Channel[[#This Row],[Query]]="",
      "Empty",
      "Defined"
   )
)</f>
        <v/>
      </c>
      <c r="Q38" s="49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38" s="19" t="str">
        <f>IF(
   T_Channel[[#This Row],[Query]]="",
   "",
   LEFT(SUBSTITUTE(T_Channel[[#This Row],[Query]],"&lt;Select Path=""","",1),FIND("""",SUBSTITUTE(T_Channel[[#This Row],[Query]],"&lt;Select Path=""","",1))-1)
)</f>
        <v/>
      </c>
      <c r="S38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3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38" s="20" t="str">
        <f>IF(
   T_Channel[[#This Row],[Check]]&lt;&gt;"OK",
   "",
   T_Channel[[#This Row],[ChannelSymbol]] &amp; ".evtx"
)</f>
        <v/>
      </c>
      <c r="V38" s="20" t="str">
        <f>IF(
   T_Channel[[#This Row],[Check]]&lt;&gt;"OK",
   "",
   T_Channel[[#This Row],[LogFolder]] &amp; "\" &amp; T_Channel[[#This Row],[LogFile]]
)</f>
        <v/>
      </c>
      <c r="W38" s="20" t="str">
        <f>IF(
   T_Channel[[#This Row],[Safekeeping of logs]]="",
   "",
   VLOOKUP(T_Channel[[#This Row],[Safekeeping of logs]],T_List_LogMode[],2,FALSE)
)</f>
        <v/>
      </c>
      <c r="X38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39" spans="2:24" x14ac:dyDescent="0.45">
      <c r="B39" s="7"/>
      <c r="C39" s="5"/>
      <c r="D39" s="5"/>
      <c r="E39" s="5"/>
      <c r="F39" s="6"/>
      <c r="G39" s="6"/>
      <c r="H39" s="6"/>
      <c r="I39" s="6"/>
      <c r="J39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39" s="13"/>
      <c r="L39" s="5"/>
      <c r="M39" s="41"/>
      <c r="N39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39" s="26" t="str">
        <f>IF(
   T_Channel[[#This Row],[ProviderName]]="",
   "",
   COUNTIF($N$12:$N$9982,T_Channel[[#This Row],[ProviderName]])
)</f>
        <v/>
      </c>
      <c r="P39" s="26" t="str">
        <f>IF(
   T_Channel[[#This Row],[Check]]&lt;&gt;"OK",
   "",
   IF(
      T_Channel[[#This Row],[Query]]="",
      "Empty",
      "Defined"
   )
)</f>
        <v/>
      </c>
      <c r="Q39" s="49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39" s="19" t="str">
        <f>IF(
   T_Channel[[#This Row],[Query]]="",
   "",
   LEFT(SUBSTITUTE(T_Channel[[#This Row],[Query]],"&lt;Select Path=""","",1),FIND("""",SUBSTITUTE(T_Channel[[#This Row],[Query]],"&lt;Select Path=""","",1))-1)
)</f>
        <v/>
      </c>
      <c r="S39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3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39" s="20" t="str">
        <f>IF(
   T_Channel[[#This Row],[Check]]&lt;&gt;"OK",
   "",
   T_Channel[[#This Row],[ChannelSymbol]] &amp; ".evtx"
)</f>
        <v/>
      </c>
      <c r="V39" s="20" t="str">
        <f>IF(
   T_Channel[[#This Row],[Check]]&lt;&gt;"OK",
   "",
   T_Channel[[#This Row],[LogFolder]] &amp; "\" &amp; T_Channel[[#This Row],[LogFile]]
)</f>
        <v/>
      </c>
      <c r="W39" s="20" t="str">
        <f>IF(
   T_Channel[[#This Row],[Safekeeping of logs]]="",
   "",
   VLOOKUP(T_Channel[[#This Row],[Safekeeping of logs]],T_List_LogMode[],2,FALSE)
)</f>
        <v/>
      </c>
      <c r="X39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40" spans="2:24" x14ac:dyDescent="0.45">
      <c r="B40" s="7"/>
      <c r="C40" s="5"/>
      <c r="D40" s="5"/>
      <c r="E40" s="5"/>
      <c r="F40" s="6"/>
      <c r="G40" s="6"/>
      <c r="H40" s="6"/>
      <c r="I40" s="6"/>
      <c r="J40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40" s="13"/>
      <c r="L40" s="5"/>
      <c r="M40" s="41"/>
      <c r="N40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40" s="26" t="str">
        <f>IF(
   T_Channel[[#This Row],[ProviderName]]="",
   "",
   COUNTIF($N$12:$N$9982,T_Channel[[#This Row],[ProviderName]])
)</f>
        <v/>
      </c>
      <c r="P40" s="26" t="str">
        <f>IF(
   T_Channel[[#This Row],[Check]]&lt;&gt;"OK",
   "",
   IF(
      T_Channel[[#This Row],[Query]]="",
      "Empty",
      "Defined"
   )
)</f>
        <v/>
      </c>
      <c r="Q40" s="49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40" s="19" t="str">
        <f>IF(
   T_Channel[[#This Row],[Query]]="",
   "",
   LEFT(SUBSTITUTE(T_Channel[[#This Row],[Query]],"&lt;Select Path=""","",1),FIND("""",SUBSTITUTE(T_Channel[[#This Row],[Query]],"&lt;Select Path=""","",1))-1)
)</f>
        <v/>
      </c>
      <c r="S40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4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40" s="20" t="str">
        <f>IF(
   T_Channel[[#This Row],[Check]]&lt;&gt;"OK",
   "",
   T_Channel[[#This Row],[ChannelSymbol]] &amp; ".evtx"
)</f>
        <v/>
      </c>
      <c r="V40" s="20" t="str">
        <f>IF(
   T_Channel[[#This Row],[Check]]&lt;&gt;"OK",
   "",
   T_Channel[[#This Row],[LogFolder]] &amp; "\" &amp; T_Channel[[#This Row],[LogFile]]
)</f>
        <v/>
      </c>
      <c r="W40" s="20" t="str">
        <f>IF(
   T_Channel[[#This Row],[Safekeeping of logs]]="",
   "",
   VLOOKUP(T_Channel[[#This Row],[Safekeeping of logs]],T_List_LogMode[],2,FALSE)
)</f>
        <v/>
      </c>
      <c r="X40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41" spans="2:24" x14ac:dyDescent="0.45">
      <c r="B41" s="7"/>
      <c r="C41" s="5"/>
      <c r="D41" s="5"/>
      <c r="E41" s="5"/>
      <c r="F41" s="6"/>
      <c r="G41" s="6"/>
      <c r="H41" s="6"/>
      <c r="I41" s="6"/>
      <c r="J41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41" s="13"/>
      <c r="L41" s="5"/>
      <c r="M41" s="41"/>
      <c r="N41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41" s="26" t="str">
        <f>IF(
   T_Channel[[#This Row],[ProviderName]]="",
   "",
   COUNTIF($N$12:$N$9982,T_Channel[[#This Row],[ProviderName]])
)</f>
        <v/>
      </c>
      <c r="P41" s="26" t="str">
        <f>IF(
   T_Channel[[#This Row],[Check]]&lt;&gt;"OK",
   "",
   IF(
      T_Channel[[#This Row],[Query]]="",
      "Empty",
      "Defined"
   )
)</f>
        <v/>
      </c>
      <c r="Q41" s="49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41" s="19" t="str">
        <f>IF(
   T_Channel[[#This Row],[Query]]="",
   "",
   LEFT(SUBSTITUTE(T_Channel[[#This Row],[Query]],"&lt;Select Path=""","",1),FIND("""",SUBSTITUTE(T_Channel[[#This Row],[Query]],"&lt;Select Path=""","",1))-1)
)</f>
        <v/>
      </c>
      <c r="S41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4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41" s="20" t="str">
        <f>IF(
   T_Channel[[#This Row],[Check]]&lt;&gt;"OK",
   "",
   T_Channel[[#This Row],[ChannelSymbol]] &amp; ".evtx"
)</f>
        <v/>
      </c>
      <c r="V41" s="20" t="str">
        <f>IF(
   T_Channel[[#This Row],[Check]]&lt;&gt;"OK",
   "",
   T_Channel[[#This Row],[LogFolder]] &amp; "\" &amp; T_Channel[[#This Row],[LogFile]]
)</f>
        <v/>
      </c>
      <c r="W41" s="20" t="str">
        <f>IF(
   T_Channel[[#This Row],[Safekeeping of logs]]="",
   "",
   VLOOKUP(T_Channel[[#This Row],[Safekeeping of logs]],T_List_LogMode[],2,FALSE)
)</f>
        <v/>
      </c>
      <c r="X41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42" spans="2:24" x14ac:dyDescent="0.45">
      <c r="B42" s="7"/>
      <c r="C42" s="5"/>
      <c r="D42" s="5"/>
      <c r="E42" s="5"/>
      <c r="F42" s="6"/>
      <c r="G42" s="6"/>
      <c r="H42" s="6"/>
      <c r="I42" s="6"/>
      <c r="J42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42" s="13"/>
      <c r="L42" s="5"/>
      <c r="M42" s="41"/>
      <c r="N42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42" s="26" t="str">
        <f>IF(
   T_Channel[[#This Row],[ProviderName]]="",
   "",
   COUNTIF($N$12:$N$9982,T_Channel[[#This Row],[ProviderName]])
)</f>
        <v/>
      </c>
      <c r="P42" s="26" t="str">
        <f>IF(
   T_Channel[[#This Row],[Check]]&lt;&gt;"OK",
   "",
   IF(
      T_Channel[[#This Row],[Query]]="",
      "Empty",
      "Defined"
   )
)</f>
        <v/>
      </c>
      <c r="Q42" s="49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42" s="19" t="str">
        <f>IF(
   T_Channel[[#This Row],[Query]]="",
   "",
   LEFT(SUBSTITUTE(T_Channel[[#This Row],[Query]],"&lt;Select Path=""","",1),FIND("""",SUBSTITUTE(T_Channel[[#This Row],[Query]],"&lt;Select Path=""","",1))-1)
)</f>
        <v/>
      </c>
      <c r="S42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4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42" s="20" t="str">
        <f>IF(
   T_Channel[[#This Row],[Check]]&lt;&gt;"OK",
   "",
   T_Channel[[#This Row],[ChannelSymbol]] &amp; ".evtx"
)</f>
        <v/>
      </c>
      <c r="V42" s="20" t="str">
        <f>IF(
   T_Channel[[#This Row],[Check]]&lt;&gt;"OK",
   "",
   T_Channel[[#This Row],[LogFolder]] &amp; "\" &amp; T_Channel[[#This Row],[LogFile]]
)</f>
        <v/>
      </c>
      <c r="W42" s="20" t="str">
        <f>IF(
   T_Channel[[#This Row],[Safekeeping of logs]]="",
   "",
   VLOOKUP(T_Channel[[#This Row],[Safekeeping of logs]],T_List_LogMode[],2,FALSE)
)</f>
        <v/>
      </c>
      <c r="X42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43" spans="2:24" x14ac:dyDescent="0.45">
      <c r="B43" s="7"/>
      <c r="C43" s="5"/>
      <c r="D43" s="5"/>
      <c r="E43" s="5"/>
      <c r="F43" s="6"/>
      <c r="G43" s="6"/>
      <c r="H43" s="6"/>
      <c r="I43" s="6"/>
      <c r="J43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43" s="13"/>
      <c r="L43" s="5"/>
      <c r="M43" s="41"/>
      <c r="N43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43" s="26" t="str">
        <f>IF(
   T_Channel[[#This Row],[ProviderName]]="",
   "",
   COUNTIF($N$12:$N$9982,T_Channel[[#This Row],[ProviderName]])
)</f>
        <v/>
      </c>
      <c r="P43" s="26" t="str">
        <f>IF(
   T_Channel[[#This Row],[Check]]&lt;&gt;"OK",
   "",
   IF(
      T_Channel[[#This Row],[Query]]="",
      "Empty",
      "Defined"
   )
)</f>
        <v/>
      </c>
      <c r="Q43" s="49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43" s="19" t="str">
        <f>IF(
   T_Channel[[#This Row],[Query]]="",
   "",
   LEFT(SUBSTITUTE(T_Channel[[#This Row],[Query]],"&lt;Select Path=""","",1),FIND("""",SUBSTITUTE(T_Channel[[#This Row],[Query]],"&lt;Select Path=""","",1))-1)
)</f>
        <v/>
      </c>
      <c r="S43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4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43" s="20" t="str">
        <f>IF(
   T_Channel[[#This Row],[Check]]&lt;&gt;"OK",
   "",
   T_Channel[[#This Row],[ChannelSymbol]] &amp; ".evtx"
)</f>
        <v/>
      </c>
      <c r="V43" s="20" t="str">
        <f>IF(
   T_Channel[[#This Row],[Check]]&lt;&gt;"OK",
   "",
   T_Channel[[#This Row],[LogFolder]] &amp; "\" &amp; T_Channel[[#This Row],[LogFile]]
)</f>
        <v/>
      </c>
      <c r="W43" s="20" t="str">
        <f>IF(
   T_Channel[[#This Row],[Safekeeping of logs]]="",
   "",
   VLOOKUP(T_Channel[[#This Row],[Safekeeping of logs]],T_List_LogMode[],2,FALSE)
)</f>
        <v/>
      </c>
      <c r="X43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44" spans="2:24" x14ac:dyDescent="0.45">
      <c r="B44" s="7"/>
      <c r="C44" s="5"/>
      <c r="D44" s="5"/>
      <c r="E44" s="5"/>
      <c r="F44" s="6"/>
      <c r="G44" s="6"/>
      <c r="H44" s="6"/>
      <c r="I44" s="6"/>
      <c r="J44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44" s="13"/>
      <c r="L44" s="5"/>
      <c r="M44" s="41"/>
      <c r="N44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44" s="26" t="str">
        <f>IF(
   T_Channel[[#This Row],[ProviderName]]="",
   "",
   COUNTIF($N$12:$N$9982,T_Channel[[#This Row],[ProviderName]])
)</f>
        <v/>
      </c>
      <c r="P44" s="26" t="str">
        <f>IF(
   T_Channel[[#This Row],[Check]]&lt;&gt;"OK",
   "",
   IF(
      T_Channel[[#This Row],[Query]]="",
      "Empty",
      "Defined"
   )
)</f>
        <v/>
      </c>
      <c r="Q44" s="49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44" s="19" t="str">
        <f>IF(
   T_Channel[[#This Row],[Query]]="",
   "",
   LEFT(SUBSTITUTE(T_Channel[[#This Row],[Query]],"&lt;Select Path=""","",1),FIND("""",SUBSTITUTE(T_Channel[[#This Row],[Query]],"&lt;Select Path=""","",1))-1)
)</f>
        <v/>
      </c>
      <c r="S44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4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44" s="20" t="str">
        <f>IF(
   T_Channel[[#This Row],[Check]]&lt;&gt;"OK",
   "",
   T_Channel[[#This Row],[ChannelSymbol]] &amp; ".evtx"
)</f>
        <v/>
      </c>
      <c r="V44" s="20" t="str">
        <f>IF(
   T_Channel[[#This Row],[Check]]&lt;&gt;"OK",
   "",
   T_Channel[[#This Row],[LogFolder]] &amp; "\" &amp; T_Channel[[#This Row],[LogFile]]
)</f>
        <v/>
      </c>
      <c r="W44" s="20" t="str">
        <f>IF(
   T_Channel[[#This Row],[Safekeeping of logs]]="",
   "",
   VLOOKUP(T_Channel[[#This Row],[Safekeeping of logs]],T_List_LogMode[],2,FALSE)
)</f>
        <v/>
      </c>
      <c r="X44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45" spans="2:24" x14ac:dyDescent="0.45">
      <c r="B45" s="7"/>
      <c r="C45" s="5"/>
      <c r="D45" s="5"/>
      <c r="E45" s="5"/>
      <c r="F45" s="6"/>
      <c r="G45" s="6"/>
      <c r="H45" s="6"/>
      <c r="I45" s="6"/>
      <c r="J45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45" s="13"/>
      <c r="L45" s="5"/>
      <c r="M45" s="41"/>
      <c r="N45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45" s="26" t="str">
        <f>IF(
   T_Channel[[#This Row],[ProviderName]]="",
   "",
   COUNTIF($N$12:$N$9982,T_Channel[[#This Row],[ProviderName]])
)</f>
        <v/>
      </c>
      <c r="P45" s="26" t="str">
        <f>IF(
   T_Channel[[#This Row],[Check]]&lt;&gt;"OK",
   "",
   IF(
      T_Channel[[#This Row],[Query]]="",
      "Empty",
      "Defined"
   )
)</f>
        <v/>
      </c>
      <c r="Q45" s="49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45" s="19" t="str">
        <f>IF(
   T_Channel[[#This Row],[Query]]="",
   "",
   LEFT(SUBSTITUTE(T_Channel[[#This Row],[Query]],"&lt;Select Path=""","",1),FIND("""",SUBSTITUTE(T_Channel[[#This Row],[Query]],"&lt;Select Path=""","",1))-1)
)</f>
        <v/>
      </c>
      <c r="S45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4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45" s="20" t="str">
        <f>IF(
   T_Channel[[#This Row],[Check]]&lt;&gt;"OK",
   "",
   T_Channel[[#This Row],[ChannelSymbol]] &amp; ".evtx"
)</f>
        <v/>
      </c>
      <c r="V45" s="20" t="str">
        <f>IF(
   T_Channel[[#This Row],[Check]]&lt;&gt;"OK",
   "",
   T_Channel[[#This Row],[LogFolder]] &amp; "\" &amp; T_Channel[[#This Row],[LogFile]]
)</f>
        <v/>
      </c>
      <c r="W45" s="20" t="str">
        <f>IF(
   T_Channel[[#This Row],[Safekeeping of logs]]="",
   "",
   VLOOKUP(T_Channel[[#This Row],[Safekeeping of logs]],T_List_LogMode[],2,FALSE)
)</f>
        <v/>
      </c>
      <c r="X45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46" spans="2:24" x14ac:dyDescent="0.45">
      <c r="B46" s="7"/>
      <c r="C46" s="5"/>
      <c r="D46" s="5"/>
      <c r="E46" s="5"/>
      <c r="F46" s="6"/>
      <c r="G46" s="6"/>
      <c r="H46" s="6"/>
      <c r="I46" s="6"/>
      <c r="J46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46" s="13"/>
      <c r="L46" s="5"/>
      <c r="M46" s="41"/>
      <c r="N46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46" s="26" t="str">
        <f>IF(
   T_Channel[[#This Row],[ProviderName]]="",
   "",
   COUNTIF($N$12:$N$9982,T_Channel[[#This Row],[ProviderName]])
)</f>
        <v/>
      </c>
      <c r="P46" s="26" t="str">
        <f>IF(
   T_Channel[[#This Row],[Check]]&lt;&gt;"OK",
   "",
   IF(
      T_Channel[[#This Row],[Query]]="",
      "Empty",
      "Defined"
   )
)</f>
        <v/>
      </c>
      <c r="Q46" s="49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46" s="19" t="str">
        <f>IF(
   T_Channel[[#This Row],[Query]]="",
   "",
   LEFT(SUBSTITUTE(T_Channel[[#This Row],[Query]],"&lt;Select Path=""","",1),FIND("""",SUBSTITUTE(T_Channel[[#This Row],[Query]],"&lt;Select Path=""","",1))-1)
)</f>
        <v/>
      </c>
      <c r="S46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4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46" s="20" t="str">
        <f>IF(
   T_Channel[[#This Row],[Check]]&lt;&gt;"OK",
   "",
   T_Channel[[#This Row],[ChannelSymbol]] &amp; ".evtx"
)</f>
        <v/>
      </c>
      <c r="V46" s="20" t="str">
        <f>IF(
   T_Channel[[#This Row],[Check]]&lt;&gt;"OK",
   "",
   T_Channel[[#This Row],[LogFolder]] &amp; "\" &amp; T_Channel[[#This Row],[LogFile]]
)</f>
        <v/>
      </c>
      <c r="W46" s="20" t="str">
        <f>IF(
   T_Channel[[#This Row],[Safekeeping of logs]]="",
   "",
   VLOOKUP(T_Channel[[#This Row],[Safekeeping of logs]],T_List_LogMode[],2,FALSE)
)</f>
        <v/>
      </c>
      <c r="X46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47" spans="2:24" x14ac:dyDescent="0.45">
      <c r="B47" s="7"/>
      <c r="C47" s="5"/>
      <c r="D47" s="5"/>
      <c r="E47" s="5"/>
      <c r="F47" s="6"/>
      <c r="G47" s="6"/>
      <c r="H47" s="6"/>
      <c r="I47" s="6"/>
      <c r="J47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47" s="13"/>
      <c r="L47" s="5"/>
      <c r="M47" s="41"/>
      <c r="N47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47" s="26" t="str">
        <f>IF(
   T_Channel[[#This Row],[ProviderName]]="",
   "",
   COUNTIF($N$12:$N$9982,T_Channel[[#This Row],[ProviderName]])
)</f>
        <v/>
      </c>
      <c r="P47" s="26" t="str">
        <f>IF(
   T_Channel[[#This Row],[Check]]&lt;&gt;"OK",
   "",
   IF(
      T_Channel[[#This Row],[Query]]="",
      "Empty",
      "Defined"
   )
)</f>
        <v/>
      </c>
      <c r="Q47" s="49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47" s="19" t="str">
        <f>IF(
   T_Channel[[#This Row],[Query]]="",
   "",
   LEFT(SUBSTITUTE(T_Channel[[#This Row],[Query]],"&lt;Select Path=""","",1),FIND("""",SUBSTITUTE(T_Channel[[#This Row],[Query]],"&lt;Select Path=""","",1))-1)
)</f>
        <v/>
      </c>
      <c r="S47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4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47" s="20" t="str">
        <f>IF(
   T_Channel[[#This Row],[Check]]&lt;&gt;"OK",
   "",
   T_Channel[[#This Row],[ChannelSymbol]] &amp; ".evtx"
)</f>
        <v/>
      </c>
      <c r="V47" s="20" t="str">
        <f>IF(
   T_Channel[[#This Row],[Check]]&lt;&gt;"OK",
   "",
   T_Channel[[#This Row],[LogFolder]] &amp; "\" &amp; T_Channel[[#This Row],[LogFile]]
)</f>
        <v/>
      </c>
      <c r="W47" s="20" t="str">
        <f>IF(
   T_Channel[[#This Row],[Safekeeping of logs]]="",
   "",
   VLOOKUP(T_Channel[[#This Row],[Safekeeping of logs]],T_List_LogMode[],2,FALSE)
)</f>
        <v/>
      </c>
      <c r="X47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48" spans="2:24" x14ac:dyDescent="0.45">
      <c r="B48" s="7"/>
      <c r="C48" s="5"/>
      <c r="D48" s="5"/>
      <c r="E48" s="5"/>
      <c r="F48" s="6"/>
      <c r="G48" s="6"/>
      <c r="H48" s="6"/>
      <c r="I48" s="6"/>
      <c r="J48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48" s="13"/>
      <c r="L48" s="5"/>
      <c r="M48" s="41"/>
      <c r="N48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48" s="26" t="str">
        <f>IF(
   T_Channel[[#This Row],[ProviderName]]="",
   "",
   COUNTIF($N$12:$N$9982,T_Channel[[#This Row],[ProviderName]])
)</f>
        <v/>
      </c>
      <c r="P48" s="26" t="str">
        <f>IF(
   T_Channel[[#This Row],[Check]]&lt;&gt;"OK",
   "",
   IF(
      T_Channel[[#This Row],[Query]]="",
      "Empty",
      "Defined"
   )
)</f>
        <v/>
      </c>
      <c r="Q48" s="49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48" s="19" t="str">
        <f>IF(
   T_Channel[[#This Row],[Query]]="",
   "",
   LEFT(SUBSTITUTE(T_Channel[[#This Row],[Query]],"&lt;Select Path=""","",1),FIND("""",SUBSTITUTE(T_Channel[[#This Row],[Query]],"&lt;Select Path=""","",1))-1)
)</f>
        <v/>
      </c>
      <c r="S48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4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48" s="20" t="str">
        <f>IF(
   T_Channel[[#This Row],[Check]]&lt;&gt;"OK",
   "",
   T_Channel[[#This Row],[ChannelSymbol]] &amp; ".evtx"
)</f>
        <v/>
      </c>
      <c r="V48" s="20" t="str">
        <f>IF(
   T_Channel[[#This Row],[Check]]&lt;&gt;"OK",
   "",
   T_Channel[[#This Row],[LogFolder]] &amp; "\" &amp; T_Channel[[#This Row],[LogFile]]
)</f>
        <v/>
      </c>
      <c r="W48" s="20" t="str">
        <f>IF(
   T_Channel[[#This Row],[Safekeeping of logs]]="",
   "",
   VLOOKUP(T_Channel[[#This Row],[Safekeeping of logs]],T_List_LogMode[],2,FALSE)
)</f>
        <v/>
      </c>
      <c r="X48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49" spans="2:24" x14ac:dyDescent="0.45">
      <c r="B49" s="7"/>
      <c r="C49" s="5"/>
      <c r="D49" s="5"/>
      <c r="E49" s="5"/>
      <c r="F49" s="6"/>
      <c r="G49" s="6"/>
      <c r="H49" s="6"/>
      <c r="I49" s="6"/>
      <c r="J49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49" s="13"/>
      <c r="L49" s="5"/>
      <c r="M49" s="41"/>
      <c r="N49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49" s="26" t="str">
        <f>IF(
   T_Channel[[#This Row],[ProviderName]]="",
   "",
   COUNTIF($N$12:$N$9982,T_Channel[[#This Row],[ProviderName]])
)</f>
        <v/>
      </c>
      <c r="P49" s="26" t="str">
        <f>IF(
   T_Channel[[#This Row],[Check]]&lt;&gt;"OK",
   "",
   IF(
      T_Channel[[#This Row],[Query]]="",
      "Empty",
      "Defined"
   )
)</f>
        <v/>
      </c>
      <c r="Q49" s="49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49" s="19" t="str">
        <f>IF(
   T_Channel[[#This Row],[Query]]="",
   "",
   LEFT(SUBSTITUTE(T_Channel[[#This Row],[Query]],"&lt;Select Path=""","",1),FIND("""",SUBSTITUTE(T_Channel[[#This Row],[Query]],"&lt;Select Path=""","",1))-1)
)</f>
        <v/>
      </c>
      <c r="S49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4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49" s="20" t="str">
        <f>IF(
   T_Channel[[#This Row],[Check]]&lt;&gt;"OK",
   "",
   T_Channel[[#This Row],[ChannelSymbol]] &amp; ".evtx"
)</f>
        <v/>
      </c>
      <c r="V49" s="20" t="str">
        <f>IF(
   T_Channel[[#This Row],[Check]]&lt;&gt;"OK",
   "",
   T_Channel[[#This Row],[LogFolder]] &amp; "\" &amp; T_Channel[[#This Row],[LogFile]]
)</f>
        <v/>
      </c>
      <c r="W49" s="20" t="str">
        <f>IF(
   T_Channel[[#This Row],[Safekeeping of logs]]="",
   "",
   VLOOKUP(T_Channel[[#This Row],[Safekeeping of logs]],T_List_LogMode[],2,FALSE)
)</f>
        <v/>
      </c>
      <c r="X49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50" spans="2:24" x14ac:dyDescent="0.45">
      <c r="B50" s="7"/>
      <c r="C50" s="5"/>
      <c r="D50" s="5"/>
      <c r="E50" s="5"/>
      <c r="F50" s="6"/>
      <c r="G50" s="6"/>
      <c r="H50" s="6"/>
      <c r="I50" s="6"/>
      <c r="J50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50" s="13"/>
      <c r="L50" s="5"/>
      <c r="M50" s="41"/>
      <c r="N50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50" s="26" t="str">
        <f>IF(
   T_Channel[[#This Row],[ProviderName]]="",
   "",
   COUNTIF($N$12:$N$9982,T_Channel[[#This Row],[ProviderName]])
)</f>
        <v/>
      </c>
      <c r="P50" s="26" t="str">
        <f>IF(
   T_Channel[[#This Row],[Check]]&lt;&gt;"OK",
   "",
   IF(
      T_Channel[[#This Row],[Query]]="",
      "Empty",
      "Defined"
   )
)</f>
        <v/>
      </c>
      <c r="Q50" s="49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50" s="19" t="str">
        <f>IF(
   T_Channel[[#This Row],[Query]]="",
   "",
   LEFT(SUBSTITUTE(T_Channel[[#This Row],[Query]],"&lt;Select Path=""","",1),FIND("""",SUBSTITUTE(T_Channel[[#This Row],[Query]],"&lt;Select Path=""","",1))-1)
)</f>
        <v/>
      </c>
      <c r="S50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5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50" s="20" t="str">
        <f>IF(
   T_Channel[[#This Row],[Check]]&lt;&gt;"OK",
   "",
   T_Channel[[#This Row],[ChannelSymbol]] &amp; ".evtx"
)</f>
        <v/>
      </c>
      <c r="V50" s="20" t="str">
        <f>IF(
   T_Channel[[#This Row],[Check]]&lt;&gt;"OK",
   "",
   T_Channel[[#This Row],[LogFolder]] &amp; "\" &amp; T_Channel[[#This Row],[LogFile]]
)</f>
        <v/>
      </c>
      <c r="W50" s="20" t="str">
        <f>IF(
   T_Channel[[#This Row],[Safekeeping of logs]]="",
   "",
   VLOOKUP(T_Channel[[#This Row],[Safekeeping of logs]],T_List_LogMode[],2,FALSE)
)</f>
        <v/>
      </c>
      <c r="X50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51" spans="2:24" x14ac:dyDescent="0.45">
      <c r="B51" s="7"/>
      <c r="C51" s="5"/>
      <c r="D51" s="5"/>
      <c r="E51" s="5"/>
      <c r="F51" s="6"/>
      <c r="G51" s="6"/>
      <c r="H51" s="6"/>
      <c r="I51" s="6"/>
      <c r="J51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51" s="13"/>
      <c r="L51" s="5"/>
      <c r="M51" s="41"/>
      <c r="N51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51" s="26" t="str">
        <f>IF(
   T_Channel[[#This Row],[ProviderName]]="",
   "",
   COUNTIF($N$12:$N$9982,T_Channel[[#This Row],[ProviderName]])
)</f>
        <v/>
      </c>
      <c r="P51" s="26" t="str">
        <f>IF(
   T_Channel[[#This Row],[Check]]&lt;&gt;"OK",
   "",
   IF(
      T_Channel[[#This Row],[Query]]="",
      "Empty",
      "Defined"
   )
)</f>
        <v/>
      </c>
      <c r="Q51" s="49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51" s="19" t="str">
        <f>IF(
   T_Channel[[#This Row],[Query]]="",
   "",
   LEFT(SUBSTITUTE(T_Channel[[#This Row],[Query]],"&lt;Select Path=""","",1),FIND("""",SUBSTITUTE(T_Channel[[#This Row],[Query]],"&lt;Select Path=""","",1))-1)
)</f>
        <v/>
      </c>
      <c r="S51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5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51" s="20" t="str">
        <f>IF(
   T_Channel[[#This Row],[Check]]&lt;&gt;"OK",
   "",
   T_Channel[[#This Row],[ChannelSymbol]] &amp; ".evtx"
)</f>
        <v/>
      </c>
      <c r="V51" s="20" t="str">
        <f>IF(
   T_Channel[[#This Row],[Check]]&lt;&gt;"OK",
   "",
   T_Channel[[#This Row],[LogFolder]] &amp; "\" &amp; T_Channel[[#This Row],[LogFile]]
)</f>
        <v/>
      </c>
      <c r="W51" s="20" t="str">
        <f>IF(
   T_Channel[[#This Row],[Safekeeping of logs]]="",
   "",
   VLOOKUP(T_Channel[[#This Row],[Safekeeping of logs]],T_List_LogMode[],2,FALSE)
)</f>
        <v/>
      </c>
      <c r="X51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52" spans="2:24" x14ac:dyDescent="0.45">
      <c r="B52" s="7"/>
      <c r="C52" s="5"/>
      <c r="D52" s="5"/>
      <c r="E52" s="5"/>
      <c r="F52" s="6"/>
      <c r="G52" s="6"/>
      <c r="H52" s="6"/>
      <c r="I52" s="6"/>
      <c r="J52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52" s="13"/>
      <c r="L52" s="5"/>
      <c r="M52" s="41"/>
      <c r="N52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52" s="26" t="str">
        <f>IF(
   T_Channel[[#This Row],[ProviderName]]="",
   "",
   COUNTIF($N$12:$N$9982,T_Channel[[#This Row],[ProviderName]])
)</f>
        <v/>
      </c>
      <c r="P52" s="26" t="str">
        <f>IF(
   T_Channel[[#This Row],[Check]]&lt;&gt;"OK",
   "",
   IF(
      T_Channel[[#This Row],[Query]]="",
      "Empty",
      "Defined"
   )
)</f>
        <v/>
      </c>
      <c r="Q52" s="49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52" s="19" t="str">
        <f>IF(
   T_Channel[[#This Row],[Query]]="",
   "",
   LEFT(SUBSTITUTE(T_Channel[[#This Row],[Query]],"&lt;Select Path=""","",1),FIND("""",SUBSTITUTE(T_Channel[[#This Row],[Query]],"&lt;Select Path=""","",1))-1)
)</f>
        <v/>
      </c>
      <c r="S52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5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52" s="20" t="str">
        <f>IF(
   T_Channel[[#This Row],[Check]]&lt;&gt;"OK",
   "",
   T_Channel[[#This Row],[ChannelSymbol]] &amp; ".evtx"
)</f>
        <v/>
      </c>
      <c r="V52" s="20" t="str">
        <f>IF(
   T_Channel[[#This Row],[Check]]&lt;&gt;"OK",
   "",
   T_Channel[[#This Row],[LogFolder]] &amp; "\" &amp; T_Channel[[#This Row],[LogFile]]
)</f>
        <v/>
      </c>
      <c r="W52" s="20" t="str">
        <f>IF(
   T_Channel[[#This Row],[Safekeeping of logs]]="",
   "",
   VLOOKUP(T_Channel[[#This Row],[Safekeeping of logs]],T_List_LogMode[],2,FALSE)
)</f>
        <v/>
      </c>
      <c r="X52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53" spans="2:24" x14ac:dyDescent="0.45">
      <c r="B53" s="7"/>
      <c r="C53" s="7"/>
      <c r="D53" s="7"/>
      <c r="E53" s="7"/>
      <c r="F53" s="6"/>
      <c r="G53" s="6"/>
      <c r="H53" s="6"/>
      <c r="I53" s="6"/>
      <c r="J53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53" s="21"/>
      <c r="L53" s="5"/>
      <c r="M53" s="41"/>
      <c r="N53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53" s="26" t="str">
        <f>IF(
   T_Channel[[#This Row],[ProviderName]]="",
   "",
   COUNTIF($N$12:$N$9982,T_Channel[[#This Row],[ProviderName]])
)</f>
        <v/>
      </c>
      <c r="P53" s="26" t="str">
        <f>IF(
   T_Channel[[#This Row],[Check]]&lt;&gt;"OK",
   "",
   IF(
      T_Channel[[#This Row],[Query]]="",
      "Empty",
      "Defined"
   )
)</f>
        <v/>
      </c>
      <c r="Q53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53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53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5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53" s="20" t="str">
        <f>IF(
   T_Channel[[#This Row],[Check]]&lt;&gt;"OK",
   "",
   T_Channel[[#This Row],[ChannelSymbol]] &amp; ".evtx"
)</f>
        <v/>
      </c>
      <c r="V53" s="20" t="str">
        <f>IF(
   T_Channel[[#This Row],[Check]]&lt;&gt;"OK",
   "",
   T_Channel[[#This Row],[LogFolder]] &amp; "\" &amp; T_Channel[[#This Row],[LogFile]]
)</f>
        <v/>
      </c>
      <c r="W53" s="20" t="str">
        <f>IF(
   T_Channel[[#This Row],[Safekeeping of logs]]="",
   "",
   VLOOKUP(T_Channel[[#This Row],[Safekeeping of logs]],T_List_LogMode[],2,FALSE)
)</f>
        <v/>
      </c>
      <c r="X53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54" spans="2:24" x14ac:dyDescent="0.45">
      <c r="B54" s="7"/>
      <c r="C54" s="7"/>
      <c r="D54" s="7"/>
      <c r="E54" s="7"/>
      <c r="F54" s="6"/>
      <c r="G54" s="6"/>
      <c r="H54" s="6"/>
      <c r="I54" s="6"/>
      <c r="J54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54" s="21"/>
      <c r="L54" s="5"/>
      <c r="M54" s="41"/>
      <c r="N54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54" s="26" t="str">
        <f>IF(
   T_Channel[[#This Row],[ProviderName]]="",
   "",
   COUNTIF($N$12:$N$9982,T_Channel[[#This Row],[ProviderName]])
)</f>
        <v/>
      </c>
      <c r="P54" s="26" t="str">
        <f>IF(
   T_Channel[[#This Row],[Check]]&lt;&gt;"OK",
   "",
   IF(
      T_Channel[[#This Row],[Query]]="",
      "Empty",
      "Defined"
   )
)</f>
        <v/>
      </c>
      <c r="Q54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54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54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5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54" s="20" t="str">
        <f>IF(
   T_Channel[[#This Row],[Check]]&lt;&gt;"OK",
   "",
   T_Channel[[#This Row],[ChannelSymbol]] &amp; ".evtx"
)</f>
        <v/>
      </c>
      <c r="V54" s="20" t="str">
        <f>IF(
   T_Channel[[#This Row],[Check]]&lt;&gt;"OK",
   "",
   T_Channel[[#This Row],[LogFolder]] &amp; "\" &amp; T_Channel[[#This Row],[LogFile]]
)</f>
        <v/>
      </c>
      <c r="W54" s="20" t="str">
        <f>IF(
   T_Channel[[#This Row],[Safekeeping of logs]]="",
   "",
   VLOOKUP(T_Channel[[#This Row],[Safekeeping of logs]],T_List_LogMode[],2,FALSE)
)</f>
        <v/>
      </c>
      <c r="X54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55" spans="2:24" x14ac:dyDescent="0.45">
      <c r="B55" s="7"/>
      <c r="C55" s="7"/>
      <c r="D55" s="5"/>
      <c r="E55" s="7"/>
      <c r="F55" s="6"/>
      <c r="G55" s="6"/>
      <c r="H55" s="6"/>
      <c r="I55" s="6"/>
      <c r="J55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55" s="21"/>
      <c r="L55" s="5"/>
      <c r="M55" s="41"/>
      <c r="N55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55" s="26" t="str">
        <f>IF(
   T_Channel[[#This Row],[ProviderName]]="",
   "",
   COUNTIF($N$12:$N$9982,T_Channel[[#This Row],[ProviderName]])
)</f>
        <v/>
      </c>
      <c r="P55" s="26" t="str">
        <f>IF(
   T_Channel[[#This Row],[Check]]&lt;&gt;"OK",
   "",
   IF(
      T_Channel[[#This Row],[Query]]="",
      "Empty",
      "Defined"
   )
)</f>
        <v/>
      </c>
      <c r="Q55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55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55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5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55" s="20" t="str">
        <f>IF(
   T_Channel[[#This Row],[Check]]&lt;&gt;"OK",
   "",
   T_Channel[[#This Row],[ChannelSymbol]] &amp; ".evtx"
)</f>
        <v/>
      </c>
      <c r="V55" s="20" t="str">
        <f>IF(
   T_Channel[[#This Row],[Check]]&lt;&gt;"OK",
   "",
   T_Channel[[#This Row],[LogFolder]] &amp; "\" &amp; T_Channel[[#This Row],[LogFile]]
)</f>
        <v/>
      </c>
      <c r="W55" s="20" t="str">
        <f>IF(
   T_Channel[[#This Row],[Safekeeping of logs]]="",
   "",
   VLOOKUP(T_Channel[[#This Row],[Safekeeping of logs]],T_List_LogMode[],2,FALSE)
)</f>
        <v/>
      </c>
      <c r="X55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56" spans="2:24" x14ac:dyDescent="0.45">
      <c r="B56" s="7"/>
      <c r="C56" s="7"/>
      <c r="D56" s="5"/>
      <c r="E56" s="7"/>
      <c r="F56" s="6"/>
      <c r="G56" s="6"/>
      <c r="H56" s="6"/>
      <c r="I56" s="6"/>
      <c r="J56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56" s="21"/>
      <c r="L56" s="5"/>
      <c r="M56" s="41"/>
      <c r="N56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56" s="26" t="str">
        <f>IF(
   T_Channel[[#This Row],[ProviderName]]="",
   "",
   COUNTIF($N$12:$N$9982,T_Channel[[#This Row],[ProviderName]])
)</f>
        <v/>
      </c>
      <c r="P56" s="26" t="str">
        <f>IF(
   T_Channel[[#This Row],[Check]]&lt;&gt;"OK",
   "",
   IF(
      T_Channel[[#This Row],[Query]]="",
      "Empty",
      "Defined"
   )
)</f>
        <v/>
      </c>
      <c r="Q56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56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56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5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56" s="20" t="str">
        <f>IF(
   T_Channel[[#This Row],[Check]]&lt;&gt;"OK",
   "",
   T_Channel[[#This Row],[ChannelSymbol]] &amp; ".evtx"
)</f>
        <v/>
      </c>
      <c r="V56" s="20" t="str">
        <f>IF(
   T_Channel[[#This Row],[Check]]&lt;&gt;"OK",
   "",
   T_Channel[[#This Row],[LogFolder]] &amp; "\" &amp; T_Channel[[#This Row],[LogFile]]
)</f>
        <v/>
      </c>
      <c r="W56" s="20" t="str">
        <f>IF(
   T_Channel[[#This Row],[Safekeeping of logs]]="",
   "",
   VLOOKUP(T_Channel[[#This Row],[Safekeeping of logs]],T_List_LogMode[],2,FALSE)
)</f>
        <v/>
      </c>
      <c r="X56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57" spans="2:24" x14ac:dyDescent="0.45">
      <c r="B57" s="7"/>
      <c r="C57" s="7"/>
      <c r="D57" s="7"/>
      <c r="E57" s="7"/>
      <c r="F57" s="6"/>
      <c r="G57" s="6"/>
      <c r="H57" s="6"/>
      <c r="I57" s="6"/>
      <c r="J57" s="25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57" s="21"/>
      <c r="L57" s="5"/>
      <c r="M57" s="41"/>
      <c r="N57" s="10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57" s="25" t="str">
        <f>IF(
   T_Channel[[#This Row],[ProviderName]]="",
   "",
   COUNTIF($N$12:$N$9982,T_Channel[[#This Row],[ProviderName]])
)</f>
        <v/>
      </c>
      <c r="P57" s="25" t="str">
        <f>IF(
   T_Channel[[#This Row],[Check]]&lt;&gt;"OK",
   "",
   IF(
      T_Channel[[#This Row],[Query]]="",
      "Empty",
      "Defined"
   )
)</f>
        <v/>
      </c>
      <c r="Q57" s="51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57" s="2" t="str">
        <f>IF(
   T_Channel[[#This Row],[Query]]="",
   "",
   LEFT(SUBSTITUTE(T_Channel[[#This Row],[Query]],"&lt;Select Path=""","",1),FIND("""",SUBSTITUTE(T_Channel[[#This Row],[Query]],"&lt;Select Path=""","",1))-1)
)</f>
        <v/>
      </c>
      <c r="S57" s="9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5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57" s="20" t="str">
        <f>IF(
   T_Channel[[#This Row],[Check]]&lt;&gt;"OK",
   "",
   T_Channel[[#This Row],[ChannelSymbol]] &amp; ".evtx"
)</f>
        <v/>
      </c>
      <c r="V57" s="20" t="str">
        <f>IF(
   T_Channel[[#This Row],[Check]]&lt;&gt;"OK",
   "",
   T_Channel[[#This Row],[LogFolder]] &amp; "\" &amp; T_Channel[[#This Row],[LogFile]]
)</f>
        <v/>
      </c>
      <c r="W57" s="20" t="str">
        <f>IF(
   T_Channel[[#This Row],[Safekeeping of logs]]="",
   "",
   VLOOKUP(T_Channel[[#This Row],[Safekeeping of logs]],T_List_LogMode[],2,FALSE)
)</f>
        <v/>
      </c>
      <c r="X57" s="2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58" spans="2:24" x14ac:dyDescent="0.45">
      <c r="B58" s="7"/>
      <c r="C58" s="7"/>
      <c r="D58" s="7"/>
      <c r="E58" s="7"/>
      <c r="F58" s="6"/>
      <c r="G58" s="6"/>
      <c r="H58" s="6"/>
      <c r="I58" s="6"/>
      <c r="J58" s="25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58" s="21"/>
      <c r="L58" s="5"/>
      <c r="M58" s="41"/>
      <c r="N58" s="10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58" s="25" t="str">
        <f>IF(
   T_Channel[[#This Row],[ProviderName]]="",
   "",
   COUNTIF($N$12:$N$9982,T_Channel[[#This Row],[ProviderName]])
)</f>
        <v/>
      </c>
      <c r="P58" s="25" t="str">
        <f>IF(
   T_Channel[[#This Row],[Check]]&lt;&gt;"OK",
   "",
   IF(
      T_Channel[[#This Row],[Query]]="",
      "Empty",
      "Defined"
   )
)</f>
        <v/>
      </c>
      <c r="Q58" s="51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58" s="2" t="str">
        <f>IF(
   T_Channel[[#This Row],[Query]]="",
   "",
   LEFT(SUBSTITUTE(T_Channel[[#This Row],[Query]],"&lt;Select Path=""","",1),FIND("""",SUBSTITUTE(T_Channel[[#This Row],[Query]],"&lt;Select Path=""","",1))-1)
)</f>
        <v/>
      </c>
      <c r="S58" s="9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5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58" s="20" t="str">
        <f>IF(
   T_Channel[[#This Row],[Check]]&lt;&gt;"OK",
   "",
   T_Channel[[#This Row],[ChannelSymbol]] &amp; ".evtx"
)</f>
        <v/>
      </c>
      <c r="V58" s="20" t="str">
        <f>IF(
   T_Channel[[#This Row],[Check]]&lt;&gt;"OK",
   "",
   T_Channel[[#This Row],[LogFolder]] &amp; "\" &amp; T_Channel[[#This Row],[LogFile]]
)</f>
        <v/>
      </c>
      <c r="W58" s="20" t="str">
        <f>IF(
   T_Channel[[#This Row],[Safekeeping of logs]]="",
   "",
   VLOOKUP(T_Channel[[#This Row],[Safekeeping of logs]],T_List_LogMode[],2,FALSE)
)</f>
        <v/>
      </c>
      <c r="X58" s="2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59" spans="2:24" x14ac:dyDescent="0.45">
      <c r="B59" s="7"/>
      <c r="C59" s="7"/>
      <c r="D59" s="5"/>
      <c r="E59" s="7"/>
      <c r="F59" s="6"/>
      <c r="G59" s="6"/>
      <c r="H59" s="6"/>
      <c r="I59" s="6"/>
      <c r="J59" s="25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59" s="21"/>
      <c r="L59" s="5"/>
      <c r="M59" s="41"/>
      <c r="N59" s="10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59" s="25" t="str">
        <f>IF(
   T_Channel[[#This Row],[ProviderName]]="",
   "",
   COUNTIF($N$12:$N$9982,T_Channel[[#This Row],[ProviderName]])
)</f>
        <v/>
      </c>
      <c r="P59" s="25" t="str">
        <f>IF(
   T_Channel[[#This Row],[Check]]&lt;&gt;"OK",
   "",
   IF(
      T_Channel[[#This Row],[Query]]="",
      "Empty",
      "Defined"
   )
)</f>
        <v/>
      </c>
      <c r="Q59" s="51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59" s="2" t="str">
        <f>IF(
   T_Channel[[#This Row],[Query]]="",
   "",
   LEFT(SUBSTITUTE(T_Channel[[#This Row],[Query]],"&lt;Select Path=""","",1),FIND("""",SUBSTITUTE(T_Channel[[#This Row],[Query]],"&lt;Select Path=""","",1))-1)
)</f>
        <v/>
      </c>
      <c r="S59" s="9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5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59" s="20" t="str">
        <f>IF(
   T_Channel[[#This Row],[Check]]&lt;&gt;"OK",
   "",
   T_Channel[[#This Row],[ChannelSymbol]] &amp; ".evtx"
)</f>
        <v/>
      </c>
      <c r="V59" s="20" t="str">
        <f>IF(
   T_Channel[[#This Row],[Check]]&lt;&gt;"OK",
   "",
   T_Channel[[#This Row],[LogFolder]] &amp; "\" &amp; T_Channel[[#This Row],[LogFile]]
)</f>
        <v/>
      </c>
      <c r="W59" s="20" t="str">
        <f>IF(
   T_Channel[[#This Row],[Safekeeping of logs]]="",
   "",
   VLOOKUP(T_Channel[[#This Row],[Safekeeping of logs]],T_List_LogMode[],2,FALSE)
)</f>
        <v/>
      </c>
      <c r="X59" s="2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60" spans="2:24" x14ac:dyDescent="0.45">
      <c r="B60" s="7"/>
      <c r="C60" s="7"/>
      <c r="D60" s="5"/>
      <c r="E60" s="7"/>
      <c r="F60" s="6"/>
      <c r="G60" s="6"/>
      <c r="H60" s="6"/>
      <c r="I60" s="6"/>
      <c r="J60" s="25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60" s="21"/>
      <c r="L60" s="5"/>
      <c r="M60" s="41"/>
      <c r="N60" s="10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60" s="25" t="str">
        <f>IF(
   T_Channel[[#This Row],[ProviderName]]="",
   "",
   COUNTIF($N$12:$N$9982,T_Channel[[#This Row],[ProviderName]])
)</f>
        <v/>
      </c>
      <c r="P60" s="25" t="str">
        <f>IF(
   T_Channel[[#This Row],[Check]]&lt;&gt;"OK",
   "",
   IF(
      T_Channel[[#This Row],[Query]]="",
      "Empty",
      "Defined"
   )
)</f>
        <v/>
      </c>
      <c r="Q60" s="51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60" s="2" t="str">
        <f>IF(
   T_Channel[[#This Row],[Query]]="",
   "",
   LEFT(SUBSTITUTE(T_Channel[[#This Row],[Query]],"&lt;Select Path=""","",1),FIND("""",SUBSTITUTE(T_Channel[[#This Row],[Query]],"&lt;Select Path=""","",1))-1)
)</f>
        <v/>
      </c>
      <c r="S60" s="9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6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60" s="20" t="str">
        <f>IF(
   T_Channel[[#This Row],[Check]]&lt;&gt;"OK",
   "",
   T_Channel[[#This Row],[ChannelSymbol]] &amp; ".evtx"
)</f>
        <v/>
      </c>
      <c r="V60" s="20" t="str">
        <f>IF(
   T_Channel[[#This Row],[Check]]&lt;&gt;"OK",
   "",
   T_Channel[[#This Row],[LogFolder]] &amp; "\" &amp; T_Channel[[#This Row],[LogFile]]
)</f>
        <v/>
      </c>
      <c r="W60" s="20" t="str">
        <f>IF(
   T_Channel[[#This Row],[Safekeeping of logs]]="",
   "",
   VLOOKUP(T_Channel[[#This Row],[Safekeeping of logs]],T_List_LogMode[],2,FALSE)
)</f>
        <v/>
      </c>
      <c r="X60" s="2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61" spans="2:24" x14ac:dyDescent="0.45">
      <c r="B61" s="7"/>
      <c r="C61" s="7"/>
      <c r="D61" s="7"/>
      <c r="E61" s="7"/>
      <c r="F61" s="6"/>
      <c r="G61" s="6"/>
      <c r="H61" s="6"/>
      <c r="I61" s="6"/>
      <c r="J61" s="25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61" s="21"/>
      <c r="L61" s="5"/>
      <c r="M61" s="41"/>
      <c r="N61" s="10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61" s="25" t="str">
        <f>IF(
   T_Channel[[#This Row],[ProviderName]]="",
   "",
   COUNTIF($N$12:$N$9982,T_Channel[[#This Row],[ProviderName]])
)</f>
        <v/>
      </c>
      <c r="P61" s="25" t="str">
        <f>IF(
   T_Channel[[#This Row],[Check]]&lt;&gt;"OK",
   "",
   IF(
      T_Channel[[#This Row],[Query]]="",
      "Empty",
      "Defined"
   )
)</f>
        <v/>
      </c>
      <c r="Q61" s="51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61" s="2" t="str">
        <f>IF(
   T_Channel[[#This Row],[Query]]="",
   "",
   LEFT(SUBSTITUTE(T_Channel[[#This Row],[Query]],"&lt;Select Path=""","",1),FIND("""",SUBSTITUTE(T_Channel[[#This Row],[Query]],"&lt;Select Path=""","",1))-1)
)</f>
        <v/>
      </c>
      <c r="S61" s="9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6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61" s="20" t="str">
        <f>IF(
   T_Channel[[#This Row],[Check]]&lt;&gt;"OK",
   "",
   T_Channel[[#This Row],[ChannelSymbol]] &amp; ".evtx"
)</f>
        <v/>
      </c>
      <c r="V61" s="20" t="str">
        <f>IF(
   T_Channel[[#This Row],[Check]]&lt;&gt;"OK",
   "",
   T_Channel[[#This Row],[LogFolder]] &amp; "\" &amp; T_Channel[[#This Row],[LogFile]]
)</f>
        <v/>
      </c>
      <c r="W61" s="20" t="str">
        <f>IF(
   T_Channel[[#This Row],[Safekeeping of logs]]="",
   "",
   VLOOKUP(T_Channel[[#This Row],[Safekeeping of logs]],T_List_LogMode[],2,FALSE)
)</f>
        <v/>
      </c>
      <c r="X61" s="2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62" spans="2:24" x14ac:dyDescent="0.45">
      <c r="B62" s="7"/>
      <c r="C62" s="7"/>
      <c r="D62" s="7"/>
      <c r="E62" s="5"/>
      <c r="F62" s="6"/>
      <c r="G62" s="6"/>
      <c r="H62" s="6"/>
      <c r="I62" s="6"/>
      <c r="J62" s="25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62" s="13"/>
      <c r="L62" s="5"/>
      <c r="M62" s="41"/>
      <c r="N62" s="10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62" s="25" t="str">
        <f>IF(
   T_Channel[[#This Row],[ProviderName]]="",
   "",
   COUNTIF($N$12:$N$9982,T_Channel[[#This Row],[ProviderName]])
)</f>
        <v/>
      </c>
      <c r="P62" s="25" t="str">
        <f>IF(
   T_Channel[[#This Row],[Check]]&lt;&gt;"OK",
   "",
   IF(
      T_Channel[[#This Row],[Query]]="",
      "Empty",
      "Defined"
   )
)</f>
        <v/>
      </c>
      <c r="Q62" s="52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62" s="1" t="str">
        <f>IF(
   T_Channel[[#This Row],[Query]]="",
   "",
   LEFT(SUBSTITUTE(T_Channel[[#This Row],[Query]],"&lt;Select Path=""","",1),FIND("""",SUBSTITUTE(T_Channel[[#This Row],[Query]],"&lt;Select Path=""","",1))-1)
)</f>
        <v/>
      </c>
      <c r="S62" s="9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6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62" s="20" t="str">
        <f>IF(
   T_Channel[[#This Row],[Check]]&lt;&gt;"OK",
   "",
   T_Channel[[#This Row],[ChannelSymbol]] &amp; ".evtx"
)</f>
        <v/>
      </c>
      <c r="V62" s="20" t="str">
        <f>IF(
   T_Channel[[#This Row],[Check]]&lt;&gt;"OK",
   "",
   T_Channel[[#This Row],[LogFolder]] &amp; "\" &amp; T_Channel[[#This Row],[LogFile]]
)</f>
        <v/>
      </c>
      <c r="W62" s="20" t="str">
        <f>IF(
   T_Channel[[#This Row],[Safekeeping of logs]]="",
   "",
   VLOOKUP(T_Channel[[#This Row],[Safekeeping of logs]],T_List_LogMode[],2,FALSE)
)</f>
        <v/>
      </c>
      <c r="X62" s="2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63" spans="2:24" x14ac:dyDescent="0.45">
      <c r="B63" s="7"/>
      <c r="C63" s="7"/>
      <c r="D63" s="7"/>
      <c r="E63" s="5"/>
      <c r="F63" s="6"/>
      <c r="G63" s="6"/>
      <c r="H63" s="6"/>
      <c r="I63" s="6"/>
      <c r="J63" s="25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63" s="13"/>
      <c r="L63" s="5"/>
      <c r="M63" s="41"/>
      <c r="N63" s="10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63" s="25" t="str">
        <f>IF(
   T_Channel[[#This Row],[ProviderName]]="",
   "",
   COUNTIF($N$12:$N$9982,T_Channel[[#This Row],[ProviderName]])
)</f>
        <v/>
      </c>
      <c r="P63" s="25" t="str">
        <f>IF(
   T_Channel[[#This Row],[Check]]&lt;&gt;"OK",
   "",
   IF(
      T_Channel[[#This Row],[Query]]="",
      "Empty",
      "Defined"
   )
)</f>
        <v/>
      </c>
      <c r="Q63" s="52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63" s="1" t="str">
        <f>IF(
   T_Channel[[#This Row],[Query]]="",
   "",
   LEFT(SUBSTITUTE(T_Channel[[#This Row],[Query]],"&lt;Select Path=""","",1),FIND("""",SUBSTITUTE(T_Channel[[#This Row],[Query]],"&lt;Select Path=""","",1))-1)
)</f>
        <v/>
      </c>
      <c r="S63" s="9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6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63" s="20" t="str">
        <f>IF(
   T_Channel[[#This Row],[Check]]&lt;&gt;"OK",
   "",
   T_Channel[[#This Row],[ChannelSymbol]] &amp; ".evtx"
)</f>
        <v/>
      </c>
      <c r="V63" s="20" t="str">
        <f>IF(
   T_Channel[[#This Row],[Check]]&lt;&gt;"OK",
   "",
   T_Channel[[#This Row],[LogFolder]] &amp; "\" &amp; T_Channel[[#This Row],[LogFile]]
)</f>
        <v/>
      </c>
      <c r="W63" s="20" t="str">
        <f>IF(
   T_Channel[[#This Row],[Safekeeping of logs]]="",
   "",
   VLOOKUP(T_Channel[[#This Row],[Safekeeping of logs]],T_List_LogMode[],2,FALSE)
)</f>
        <v/>
      </c>
      <c r="X63" s="2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64" spans="2:24" x14ac:dyDescent="0.45">
      <c r="B64" s="7"/>
      <c r="C64" s="7"/>
      <c r="D64" s="7"/>
      <c r="E64" s="5"/>
      <c r="F64" s="6"/>
      <c r="G64" s="6"/>
      <c r="H64" s="6"/>
      <c r="I64" s="6"/>
      <c r="J64" s="25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64" s="13"/>
      <c r="L64" s="5"/>
      <c r="M64" s="41"/>
      <c r="N64" s="10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64" s="25" t="str">
        <f>IF(
   T_Channel[[#This Row],[ProviderName]]="",
   "",
   COUNTIF($N$12:$N$9982,T_Channel[[#This Row],[ProviderName]])
)</f>
        <v/>
      </c>
      <c r="P64" s="25" t="str">
        <f>IF(
   T_Channel[[#This Row],[Check]]&lt;&gt;"OK",
   "",
   IF(
      T_Channel[[#This Row],[Query]]="",
      "Empty",
      "Defined"
   )
)</f>
        <v/>
      </c>
      <c r="Q64" s="52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64" s="1" t="str">
        <f>IF(
   T_Channel[[#This Row],[Query]]="",
   "",
   LEFT(SUBSTITUTE(T_Channel[[#This Row],[Query]],"&lt;Select Path=""","",1),FIND("""",SUBSTITUTE(T_Channel[[#This Row],[Query]],"&lt;Select Path=""","",1))-1)
)</f>
        <v/>
      </c>
      <c r="S64" s="9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6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64" s="20" t="str">
        <f>IF(
   T_Channel[[#This Row],[Check]]&lt;&gt;"OK",
   "",
   T_Channel[[#This Row],[ChannelSymbol]] &amp; ".evtx"
)</f>
        <v/>
      </c>
      <c r="V64" s="20" t="str">
        <f>IF(
   T_Channel[[#This Row],[Check]]&lt;&gt;"OK",
   "",
   T_Channel[[#This Row],[LogFolder]] &amp; "\" &amp; T_Channel[[#This Row],[LogFile]]
)</f>
        <v/>
      </c>
      <c r="W64" s="20" t="str">
        <f>IF(
   T_Channel[[#This Row],[Safekeeping of logs]]="",
   "",
   VLOOKUP(T_Channel[[#This Row],[Safekeeping of logs]],T_List_LogMode[],2,FALSE)
)</f>
        <v/>
      </c>
      <c r="X64" s="2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65" spans="2:24" x14ac:dyDescent="0.45">
      <c r="B65" s="7"/>
      <c r="C65" s="7"/>
      <c r="D65" s="7"/>
      <c r="E65" s="5"/>
      <c r="F65" s="6"/>
      <c r="G65" s="6"/>
      <c r="H65" s="6"/>
      <c r="I65" s="6"/>
      <c r="J65" s="25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65" s="13"/>
      <c r="L65" s="5"/>
      <c r="M65" s="41"/>
      <c r="N65" s="10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65" s="25" t="str">
        <f>IF(
   T_Channel[[#This Row],[ProviderName]]="",
   "",
   COUNTIF($N$12:$N$9982,T_Channel[[#This Row],[ProviderName]])
)</f>
        <v/>
      </c>
      <c r="P65" s="25" t="str">
        <f>IF(
   T_Channel[[#This Row],[Check]]&lt;&gt;"OK",
   "",
   IF(
      T_Channel[[#This Row],[Query]]="",
      "Empty",
      "Defined"
   )
)</f>
        <v/>
      </c>
      <c r="Q65" s="52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65" s="1" t="str">
        <f>IF(
   T_Channel[[#This Row],[Query]]="",
   "",
   LEFT(SUBSTITUTE(T_Channel[[#This Row],[Query]],"&lt;Select Path=""","",1),FIND("""",SUBSTITUTE(T_Channel[[#This Row],[Query]],"&lt;Select Path=""","",1))-1)
)</f>
        <v/>
      </c>
      <c r="S65" s="9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6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65" s="20" t="str">
        <f>IF(
   T_Channel[[#This Row],[Check]]&lt;&gt;"OK",
   "",
   T_Channel[[#This Row],[ChannelSymbol]] &amp; ".evtx"
)</f>
        <v/>
      </c>
      <c r="V65" s="20" t="str">
        <f>IF(
   T_Channel[[#This Row],[Check]]&lt;&gt;"OK",
   "",
   T_Channel[[#This Row],[LogFolder]] &amp; "\" &amp; T_Channel[[#This Row],[LogFile]]
)</f>
        <v/>
      </c>
      <c r="W65" s="20" t="str">
        <f>IF(
   T_Channel[[#This Row],[Safekeeping of logs]]="",
   "",
   VLOOKUP(T_Channel[[#This Row],[Safekeeping of logs]],T_List_LogMode[],2,FALSE)
)</f>
        <v/>
      </c>
      <c r="X65" s="2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66" spans="2:24" x14ac:dyDescent="0.45">
      <c r="B66" s="7"/>
      <c r="C66" s="7"/>
      <c r="D66" s="7"/>
      <c r="E66" s="7"/>
      <c r="F66" s="6"/>
      <c r="G66" s="6"/>
      <c r="H66" s="6"/>
      <c r="I66" s="6"/>
      <c r="J66" s="25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66" s="21"/>
      <c r="L66" s="5"/>
      <c r="M66" s="41"/>
      <c r="N66" s="10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66" s="25" t="str">
        <f>IF(
   T_Channel[[#This Row],[ProviderName]]="",
   "",
   COUNTIF($N$12:$N$9982,T_Channel[[#This Row],[ProviderName]])
)</f>
        <v/>
      </c>
      <c r="P66" s="25" t="str">
        <f>IF(
   T_Channel[[#This Row],[Check]]&lt;&gt;"OK",
   "",
   IF(
      T_Channel[[#This Row],[Query]]="",
      "Empty",
      "Defined"
   )
)</f>
        <v/>
      </c>
      <c r="Q66" s="51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66" s="2" t="str">
        <f>IF(
   T_Channel[[#This Row],[Query]]="",
   "",
   LEFT(SUBSTITUTE(T_Channel[[#This Row],[Query]],"&lt;Select Path=""","",1),FIND("""",SUBSTITUTE(T_Channel[[#This Row],[Query]],"&lt;Select Path=""","",1))-1)
)</f>
        <v/>
      </c>
      <c r="S66" s="9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6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66" s="20" t="str">
        <f>IF(
   T_Channel[[#This Row],[Check]]&lt;&gt;"OK",
   "",
   T_Channel[[#This Row],[ChannelSymbol]] &amp; ".evtx"
)</f>
        <v/>
      </c>
      <c r="V66" s="20" t="str">
        <f>IF(
   T_Channel[[#This Row],[Check]]&lt;&gt;"OK",
   "",
   T_Channel[[#This Row],[LogFolder]] &amp; "\" &amp; T_Channel[[#This Row],[LogFile]]
)</f>
        <v/>
      </c>
      <c r="W66" s="20" t="str">
        <f>IF(
   T_Channel[[#This Row],[Safekeeping of logs]]="",
   "",
   VLOOKUP(T_Channel[[#This Row],[Safekeeping of logs]],T_List_LogMode[],2,FALSE)
)</f>
        <v/>
      </c>
      <c r="X66" s="2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67" spans="2:24" x14ac:dyDescent="0.45">
      <c r="B67" s="7"/>
      <c r="C67" s="7"/>
      <c r="D67" s="7"/>
      <c r="E67" s="5"/>
      <c r="F67" s="6"/>
      <c r="G67" s="6"/>
      <c r="H67" s="6"/>
      <c r="I67" s="6"/>
      <c r="J67" s="25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67" s="13"/>
      <c r="L67" s="5"/>
      <c r="M67" s="41"/>
      <c r="N67" s="10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67" s="25" t="str">
        <f>IF(
   T_Channel[[#This Row],[ProviderName]]="",
   "",
   COUNTIF($N$12:$N$9982,T_Channel[[#This Row],[ProviderName]])
)</f>
        <v/>
      </c>
      <c r="P67" s="25" t="str">
        <f>IF(
   T_Channel[[#This Row],[Check]]&lt;&gt;"OK",
   "",
   IF(
      T_Channel[[#This Row],[Query]]="",
      "Empty",
      "Defined"
   )
)</f>
        <v/>
      </c>
      <c r="Q67" s="52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67" s="1" t="str">
        <f>IF(
   T_Channel[[#This Row],[Query]]="",
   "",
   LEFT(SUBSTITUTE(T_Channel[[#This Row],[Query]],"&lt;Select Path=""","",1),FIND("""",SUBSTITUTE(T_Channel[[#This Row],[Query]],"&lt;Select Path=""","",1))-1)
)</f>
        <v/>
      </c>
      <c r="S67" s="9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6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67" s="20" t="str">
        <f>IF(
   T_Channel[[#This Row],[Check]]&lt;&gt;"OK",
   "",
   T_Channel[[#This Row],[ChannelSymbol]] &amp; ".evtx"
)</f>
        <v/>
      </c>
      <c r="V67" s="20" t="str">
        <f>IF(
   T_Channel[[#This Row],[Check]]&lt;&gt;"OK",
   "",
   T_Channel[[#This Row],[LogFolder]] &amp; "\" &amp; T_Channel[[#This Row],[LogFile]]
)</f>
        <v/>
      </c>
      <c r="W67" s="20" t="str">
        <f>IF(
   T_Channel[[#This Row],[Safekeeping of logs]]="",
   "",
   VLOOKUP(T_Channel[[#This Row],[Safekeeping of logs]],T_List_LogMode[],2,FALSE)
)</f>
        <v/>
      </c>
      <c r="X67" s="2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68" spans="2:24" x14ac:dyDescent="0.45">
      <c r="B68" s="7"/>
      <c r="C68" s="7"/>
      <c r="D68" s="7"/>
      <c r="E68" s="5"/>
      <c r="F68" s="6"/>
      <c r="G68" s="6"/>
      <c r="H68" s="6"/>
      <c r="I68" s="6"/>
      <c r="J68" s="25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68" s="21"/>
      <c r="L68" s="5"/>
      <c r="M68" s="41"/>
      <c r="N68" s="10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68" s="25" t="str">
        <f>IF(
   T_Channel[[#This Row],[ProviderName]]="",
   "",
   COUNTIF($N$12:$N$9982,T_Channel[[#This Row],[ProviderName]])
)</f>
        <v/>
      </c>
      <c r="P68" s="25" t="str">
        <f>IF(
   T_Channel[[#This Row],[Check]]&lt;&gt;"OK",
   "",
   IF(
      T_Channel[[#This Row],[Query]]="",
      "Empty",
      "Defined"
   )
)</f>
        <v/>
      </c>
      <c r="Q68" s="51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68" s="2" t="str">
        <f>IF(
   T_Channel[[#This Row],[Query]]="",
   "",
   LEFT(SUBSTITUTE(T_Channel[[#This Row],[Query]],"&lt;Select Path=""","",1),FIND("""",SUBSTITUTE(T_Channel[[#This Row],[Query]],"&lt;Select Path=""","",1))-1)
)</f>
        <v/>
      </c>
      <c r="S68" s="9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6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68" s="20" t="str">
        <f>IF(
   T_Channel[[#This Row],[Check]]&lt;&gt;"OK",
   "",
   T_Channel[[#This Row],[ChannelSymbol]] &amp; ".evtx"
)</f>
        <v/>
      </c>
      <c r="V68" s="20" t="str">
        <f>IF(
   T_Channel[[#This Row],[Check]]&lt;&gt;"OK",
   "",
   T_Channel[[#This Row],[LogFolder]] &amp; "\" &amp; T_Channel[[#This Row],[LogFile]]
)</f>
        <v/>
      </c>
      <c r="W68" s="20" t="str">
        <f>IF(
   T_Channel[[#This Row],[Safekeeping of logs]]="",
   "",
   VLOOKUP(T_Channel[[#This Row],[Safekeeping of logs]],T_List_LogMode[],2,FALSE)
)</f>
        <v/>
      </c>
      <c r="X68" s="2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69" spans="2:24" x14ac:dyDescent="0.45">
      <c r="B69" s="7"/>
      <c r="C69" s="7"/>
      <c r="D69" s="7"/>
      <c r="E69" s="5"/>
      <c r="F69" s="6"/>
      <c r="G69" s="6"/>
      <c r="H69" s="6"/>
      <c r="I69" s="6"/>
      <c r="J69" s="25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69" s="21"/>
      <c r="L69" s="5"/>
      <c r="M69" s="41"/>
      <c r="N69" s="10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69" s="25" t="str">
        <f>IF(
   T_Channel[[#This Row],[ProviderName]]="",
   "",
   COUNTIF($N$12:$N$9982,T_Channel[[#This Row],[ProviderName]])
)</f>
        <v/>
      </c>
      <c r="P69" s="25" t="str">
        <f>IF(
   T_Channel[[#This Row],[Check]]&lt;&gt;"OK",
   "",
   IF(
      T_Channel[[#This Row],[Query]]="",
      "Empty",
      "Defined"
   )
)</f>
        <v/>
      </c>
      <c r="Q69" s="51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69" s="2" t="str">
        <f>IF(
   T_Channel[[#This Row],[Query]]="",
   "",
   LEFT(SUBSTITUTE(T_Channel[[#This Row],[Query]],"&lt;Select Path=""","",1),FIND("""",SUBSTITUTE(T_Channel[[#This Row],[Query]],"&lt;Select Path=""","",1))-1)
)</f>
        <v/>
      </c>
      <c r="S69" s="9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6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69" s="20" t="str">
        <f>IF(
   T_Channel[[#This Row],[Check]]&lt;&gt;"OK",
   "",
   T_Channel[[#This Row],[ChannelSymbol]] &amp; ".evtx"
)</f>
        <v/>
      </c>
      <c r="V69" s="20" t="str">
        <f>IF(
   T_Channel[[#This Row],[Check]]&lt;&gt;"OK",
   "",
   T_Channel[[#This Row],[LogFolder]] &amp; "\" &amp; T_Channel[[#This Row],[LogFile]]
)</f>
        <v/>
      </c>
      <c r="W69" s="20" t="str">
        <f>IF(
   T_Channel[[#This Row],[Safekeeping of logs]]="",
   "",
   VLOOKUP(T_Channel[[#This Row],[Safekeeping of logs]],T_List_LogMode[],2,FALSE)
)</f>
        <v/>
      </c>
      <c r="X69" s="2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70" spans="2:24" x14ac:dyDescent="0.45">
      <c r="B70" s="7"/>
      <c r="C70" s="7"/>
      <c r="D70" s="7"/>
      <c r="E70" s="5"/>
      <c r="F70" s="6"/>
      <c r="G70" s="6"/>
      <c r="H70" s="6"/>
      <c r="I70" s="6"/>
      <c r="J70" s="25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70" s="21"/>
      <c r="L70" s="5"/>
      <c r="M70" s="41"/>
      <c r="N70" s="10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70" s="25" t="str">
        <f>IF(
   T_Channel[[#This Row],[ProviderName]]="",
   "",
   COUNTIF($N$12:$N$9982,T_Channel[[#This Row],[ProviderName]])
)</f>
        <v/>
      </c>
      <c r="P70" s="25" t="str">
        <f>IF(
   T_Channel[[#This Row],[Check]]&lt;&gt;"OK",
   "",
   IF(
      T_Channel[[#This Row],[Query]]="",
      "Empty",
      "Defined"
   )
)</f>
        <v/>
      </c>
      <c r="Q70" s="51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70" s="2" t="str">
        <f>IF(
   T_Channel[[#This Row],[Query]]="",
   "",
   LEFT(SUBSTITUTE(T_Channel[[#This Row],[Query]],"&lt;Select Path=""","",1),FIND("""",SUBSTITUTE(T_Channel[[#This Row],[Query]],"&lt;Select Path=""","",1))-1)
)</f>
        <v/>
      </c>
      <c r="S70" s="9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7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70" s="20" t="str">
        <f>IF(
   T_Channel[[#This Row],[Check]]&lt;&gt;"OK",
   "",
   T_Channel[[#This Row],[ChannelSymbol]] &amp; ".evtx"
)</f>
        <v/>
      </c>
      <c r="V70" s="20" t="str">
        <f>IF(
   T_Channel[[#This Row],[Check]]&lt;&gt;"OK",
   "",
   T_Channel[[#This Row],[LogFolder]] &amp; "\" &amp; T_Channel[[#This Row],[LogFile]]
)</f>
        <v/>
      </c>
      <c r="W70" s="20" t="str">
        <f>IF(
   T_Channel[[#This Row],[Safekeeping of logs]]="",
   "",
   VLOOKUP(T_Channel[[#This Row],[Safekeeping of logs]],T_List_LogMode[],2,FALSE)
)</f>
        <v/>
      </c>
      <c r="X70" s="2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71" spans="2:24" x14ac:dyDescent="0.45">
      <c r="B71" s="5"/>
      <c r="C71" s="5"/>
      <c r="D71" s="5"/>
      <c r="E71" s="5"/>
      <c r="F71" s="6"/>
      <c r="G71" s="6"/>
      <c r="H71" s="6"/>
      <c r="I71" s="6"/>
      <c r="J71" s="25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71" s="13"/>
      <c r="L71" s="5"/>
      <c r="M71" s="41"/>
      <c r="N71" s="10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71" s="25" t="str">
        <f>IF(
   T_Channel[[#This Row],[ProviderName]]="",
   "",
   COUNTIF($N$12:$N$9982,T_Channel[[#This Row],[ProviderName]])
)</f>
        <v/>
      </c>
      <c r="P71" s="25" t="str">
        <f>IF(
   T_Channel[[#This Row],[Check]]&lt;&gt;"OK",
   "",
   IF(
      T_Channel[[#This Row],[Query]]="",
      "Empty",
      "Defined"
   )
)</f>
        <v/>
      </c>
      <c r="Q71" s="52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71" s="1" t="str">
        <f>IF(
   T_Channel[[#This Row],[Query]]="",
   "",
   LEFT(SUBSTITUTE(T_Channel[[#This Row],[Query]],"&lt;Select Path=""","",1),FIND("""",SUBSTITUTE(T_Channel[[#This Row],[Query]],"&lt;Select Path=""","",1))-1)
)</f>
        <v/>
      </c>
      <c r="S71" s="9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7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71" s="20" t="str">
        <f>IF(
   T_Channel[[#This Row],[Check]]&lt;&gt;"OK",
   "",
   T_Channel[[#This Row],[ChannelSymbol]] &amp; ".evtx"
)</f>
        <v/>
      </c>
      <c r="V71" s="20" t="str">
        <f>IF(
   T_Channel[[#This Row],[Check]]&lt;&gt;"OK",
   "",
   T_Channel[[#This Row],[LogFolder]] &amp; "\" &amp; T_Channel[[#This Row],[LogFile]]
)</f>
        <v/>
      </c>
      <c r="W71" s="20" t="str">
        <f>IF(
   T_Channel[[#This Row],[Safekeeping of logs]]="",
   "",
   VLOOKUP(T_Channel[[#This Row],[Safekeeping of logs]],T_List_LogMode[],2,FALSE)
)</f>
        <v/>
      </c>
      <c r="X71" s="2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72" spans="2:24" x14ac:dyDescent="0.45">
      <c r="B72" s="5"/>
      <c r="C72" s="5"/>
      <c r="D72" s="5"/>
      <c r="E72" s="5"/>
      <c r="F72" s="6"/>
      <c r="G72" s="6"/>
      <c r="H72" s="6"/>
      <c r="I72" s="6"/>
      <c r="J72" s="25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72" s="13"/>
      <c r="L72" s="5"/>
      <c r="M72" s="41"/>
      <c r="N72" s="10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72" s="25" t="str">
        <f>IF(
   T_Channel[[#This Row],[ProviderName]]="",
   "",
   COUNTIF($N$12:$N$9982,T_Channel[[#This Row],[ProviderName]])
)</f>
        <v/>
      </c>
      <c r="P72" s="25" t="str">
        <f>IF(
   T_Channel[[#This Row],[Check]]&lt;&gt;"OK",
   "",
   IF(
      T_Channel[[#This Row],[Query]]="",
      "Empty",
      "Defined"
   )
)</f>
        <v/>
      </c>
      <c r="Q72" s="52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72" s="1" t="str">
        <f>IF(
   T_Channel[[#This Row],[Query]]="",
   "",
   LEFT(SUBSTITUTE(T_Channel[[#This Row],[Query]],"&lt;Select Path=""","",1),FIND("""",SUBSTITUTE(T_Channel[[#This Row],[Query]],"&lt;Select Path=""","",1))-1)
)</f>
        <v/>
      </c>
      <c r="S72" s="9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7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72" s="20" t="str">
        <f>IF(
   T_Channel[[#This Row],[Check]]&lt;&gt;"OK",
   "",
   T_Channel[[#This Row],[ChannelSymbol]] &amp; ".evtx"
)</f>
        <v/>
      </c>
      <c r="V72" s="20" t="str">
        <f>IF(
   T_Channel[[#This Row],[Check]]&lt;&gt;"OK",
   "",
   T_Channel[[#This Row],[LogFolder]] &amp; "\" &amp; T_Channel[[#This Row],[LogFile]]
)</f>
        <v/>
      </c>
      <c r="W72" s="20" t="str">
        <f>IF(
   T_Channel[[#This Row],[Safekeeping of logs]]="",
   "",
   VLOOKUP(T_Channel[[#This Row],[Safekeeping of logs]],T_List_LogMode[],2,FALSE)
)</f>
        <v/>
      </c>
      <c r="X72" s="2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73" spans="2:24" x14ac:dyDescent="0.45">
      <c r="B73" s="5"/>
      <c r="C73" s="5"/>
      <c r="D73" s="5"/>
      <c r="E73" s="5"/>
      <c r="F73" s="6"/>
      <c r="G73" s="6"/>
      <c r="H73" s="6"/>
      <c r="I73" s="6"/>
      <c r="J73" s="25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73" s="13"/>
      <c r="L73" s="5"/>
      <c r="M73" s="41"/>
      <c r="N73" s="10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73" s="25" t="str">
        <f>IF(
   T_Channel[[#This Row],[ProviderName]]="",
   "",
   COUNTIF($N$12:$N$9982,T_Channel[[#This Row],[ProviderName]])
)</f>
        <v/>
      </c>
      <c r="P73" s="25" t="str">
        <f>IF(
   T_Channel[[#This Row],[Check]]&lt;&gt;"OK",
   "",
   IF(
      T_Channel[[#This Row],[Query]]="",
      "Empty",
      "Defined"
   )
)</f>
        <v/>
      </c>
      <c r="Q73" s="52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73" s="1" t="str">
        <f>IF(
   T_Channel[[#This Row],[Query]]="",
   "",
   LEFT(SUBSTITUTE(T_Channel[[#This Row],[Query]],"&lt;Select Path=""","",1),FIND("""",SUBSTITUTE(T_Channel[[#This Row],[Query]],"&lt;Select Path=""","",1))-1)
)</f>
        <v/>
      </c>
      <c r="S73" s="9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7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73" s="20" t="str">
        <f>IF(
   T_Channel[[#This Row],[Check]]&lt;&gt;"OK",
   "",
   T_Channel[[#This Row],[ChannelSymbol]] &amp; ".evtx"
)</f>
        <v/>
      </c>
      <c r="V73" s="20" t="str">
        <f>IF(
   T_Channel[[#This Row],[Check]]&lt;&gt;"OK",
   "",
   T_Channel[[#This Row],[LogFolder]] &amp; "\" &amp; T_Channel[[#This Row],[LogFile]]
)</f>
        <v/>
      </c>
      <c r="W73" s="20" t="str">
        <f>IF(
   T_Channel[[#This Row],[Safekeeping of logs]]="",
   "",
   VLOOKUP(T_Channel[[#This Row],[Safekeeping of logs]],T_List_LogMode[],2,FALSE)
)</f>
        <v/>
      </c>
      <c r="X73" s="2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74" spans="2:24" x14ac:dyDescent="0.45">
      <c r="B74" s="7"/>
      <c r="C74" s="7"/>
      <c r="D74" s="5"/>
      <c r="E74" s="7"/>
      <c r="F74" s="6"/>
      <c r="G74" s="6"/>
      <c r="H74" s="6"/>
      <c r="I74" s="6"/>
      <c r="J74" s="25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74" s="21"/>
      <c r="L74" s="5"/>
      <c r="M74" s="41"/>
      <c r="N74" s="10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74" s="25" t="str">
        <f>IF(
   T_Channel[[#This Row],[ProviderName]]="",
   "",
   COUNTIF($N$12:$N$9982,T_Channel[[#This Row],[ProviderName]])
)</f>
        <v/>
      </c>
      <c r="P74" s="25" t="str">
        <f>IF(
   T_Channel[[#This Row],[Check]]&lt;&gt;"OK",
   "",
   IF(
      T_Channel[[#This Row],[Query]]="",
      "Empty",
      "Defined"
   )
)</f>
        <v/>
      </c>
      <c r="Q74" s="51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74" s="2" t="str">
        <f>IF(
   T_Channel[[#This Row],[Query]]="",
   "",
   LEFT(SUBSTITUTE(T_Channel[[#This Row],[Query]],"&lt;Select Path=""","",1),FIND("""",SUBSTITUTE(T_Channel[[#This Row],[Query]],"&lt;Select Path=""","",1))-1)
)</f>
        <v/>
      </c>
      <c r="S74" s="9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7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74" s="20" t="str">
        <f>IF(
   T_Channel[[#This Row],[Check]]&lt;&gt;"OK",
   "",
   T_Channel[[#This Row],[ChannelSymbol]] &amp; ".evtx"
)</f>
        <v/>
      </c>
      <c r="V74" s="20" t="str">
        <f>IF(
   T_Channel[[#This Row],[Check]]&lt;&gt;"OK",
   "",
   T_Channel[[#This Row],[LogFolder]] &amp; "\" &amp; T_Channel[[#This Row],[LogFile]]
)</f>
        <v/>
      </c>
      <c r="W74" s="20" t="str">
        <f>IF(
   T_Channel[[#This Row],[Safekeeping of logs]]="",
   "",
   VLOOKUP(T_Channel[[#This Row],[Safekeeping of logs]],T_List_LogMode[],2,FALSE)
)</f>
        <v/>
      </c>
      <c r="X74" s="2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75" spans="2:24" x14ac:dyDescent="0.45">
      <c r="B75" s="7"/>
      <c r="C75" s="7"/>
      <c r="D75" s="5"/>
      <c r="E75" s="5"/>
      <c r="F75" s="6"/>
      <c r="G75" s="6"/>
      <c r="H75" s="6"/>
      <c r="I75" s="6"/>
      <c r="J75" s="25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75" s="13"/>
      <c r="L75" s="5"/>
      <c r="M75" s="41"/>
      <c r="N75" s="10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75" s="25" t="str">
        <f>IF(
   T_Channel[[#This Row],[ProviderName]]="",
   "",
   COUNTIF($N$12:$N$9982,T_Channel[[#This Row],[ProviderName]])
)</f>
        <v/>
      </c>
      <c r="P75" s="25" t="str">
        <f>IF(
   T_Channel[[#This Row],[Check]]&lt;&gt;"OK",
   "",
   IF(
      T_Channel[[#This Row],[Query]]="",
      "Empty",
      "Defined"
   )
)</f>
        <v/>
      </c>
      <c r="Q75" s="52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75" s="1" t="str">
        <f>IF(
   T_Channel[[#This Row],[Query]]="",
   "",
   LEFT(SUBSTITUTE(T_Channel[[#This Row],[Query]],"&lt;Select Path=""","",1),FIND("""",SUBSTITUTE(T_Channel[[#This Row],[Query]],"&lt;Select Path=""","",1))-1)
)</f>
        <v/>
      </c>
      <c r="S75" s="9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7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75" s="20" t="str">
        <f>IF(
   T_Channel[[#This Row],[Check]]&lt;&gt;"OK",
   "",
   T_Channel[[#This Row],[ChannelSymbol]] &amp; ".evtx"
)</f>
        <v/>
      </c>
      <c r="V75" s="20" t="str">
        <f>IF(
   T_Channel[[#This Row],[Check]]&lt;&gt;"OK",
   "",
   T_Channel[[#This Row],[LogFolder]] &amp; "\" &amp; T_Channel[[#This Row],[LogFile]]
)</f>
        <v/>
      </c>
      <c r="W75" s="20" t="str">
        <f>IF(
   T_Channel[[#This Row],[Safekeeping of logs]]="",
   "",
   VLOOKUP(T_Channel[[#This Row],[Safekeeping of logs]],T_List_LogMode[],2,FALSE)
)</f>
        <v/>
      </c>
      <c r="X75" s="2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76" spans="2:24" x14ac:dyDescent="0.45">
      <c r="B76" s="7"/>
      <c r="C76" s="7"/>
      <c r="D76" s="5"/>
      <c r="E76" s="5"/>
      <c r="F76" s="6"/>
      <c r="G76" s="6"/>
      <c r="H76" s="6"/>
      <c r="I76" s="6"/>
      <c r="J76" s="25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76" s="21"/>
      <c r="L76" s="5"/>
      <c r="M76" s="41"/>
      <c r="N76" s="10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76" s="25" t="str">
        <f>IF(
   T_Channel[[#This Row],[ProviderName]]="",
   "",
   COUNTIF($N$12:$N$9982,T_Channel[[#This Row],[ProviderName]])
)</f>
        <v/>
      </c>
      <c r="P76" s="25" t="str">
        <f>IF(
   T_Channel[[#This Row],[Check]]&lt;&gt;"OK",
   "",
   IF(
      T_Channel[[#This Row],[Query]]="",
      "Empty",
      "Defined"
   )
)</f>
        <v/>
      </c>
      <c r="Q76" s="51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76" s="2" t="str">
        <f>IF(
   T_Channel[[#This Row],[Query]]="",
   "",
   LEFT(SUBSTITUTE(T_Channel[[#This Row],[Query]],"&lt;Select Path=""","",1),FIND("""",SUBSTITUTE(T_Channel[[#This Row],[Query]],"&lt;Select Path=""","",1))-1)
)</f>
        <v/>
      </c>
      <c r="S76" s="9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7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76" s="20" t="str">
        <f>IF(
   T_Channel[[#This Row],[Check]]&lt;&gt;"OK",
   "",
   T_Channel[[#This Row],[ChannelSymbol]] &amp; ".evtx"
)</f>
        <v/>
      </c>
      <c r="V76" s="20" t="str">
        <f>IF(
   T_Channel[[#This Row],[Check]]&lt;&gt;"OK",
   "",
   T_Channel[[#This Row],[LogFolder]] &amp; "\" &amp; T_Channel[[#This Row],[LogFile]]
)</f>
        <v/>
      </c>
      <c r="W76" s="20" t="str">
        <f>IF(
   T_Channel[[#This Row],[Safekeeping of logs]]="",
   "",
   VLOOKUP(T_Channel[[#This Row],[Safekeeping of logs]],T_List_LogMode[],2,FALSE)
)</f>
        <v/>
      </c>
      <c r="X76" s="2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77" spans="2:24" x14ac:dyDescent="0.45">
      <c r="B77" s="7"/>
      <c r="C77" s="7"/>
      <c r="D77" s="5"/>
      <c r="E77" s="5"/>
      <c r="F77" s="6"/>
      <c r="G77" s="6"/>
      <c r="H77" s="6"/>
      <c r="I77" s="6"/>
      <c r="J77" s="25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77" s="21"/>
      <c r="L77" s="5"/>
      <c r="M77" s="41"/>
      <c r="N77" s="10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77" s="25" t="str">
        <f>IF(
   T_Channel[[#This Row],[ProviderName]]="",
   "",
   COUNTIF($N$12:$N$9982,T_Channel[[#This Row],[ProviderName]])
)</f>
        <v/>
      </c>
      <c r="P77" s="25" t="str">
        <f>IF(
   T_Channel[[#This Row],[Check]]&lt;&gt;"OK",
   "",
   IF(
      T_Channel[[#This Row],[Query]]="",
      "Empty",
      "Defined"
   )
)</f>
        <v/>
      </c>
      <c r="Q77" s="51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77" s="2" t="str">
        <f>IF(
   T_Channel[[#This Row],[Query]]="",
   "",
   LEFT(SUBSTITUTE(T_Channel[[#This Row],[Query]],"&lt;Select Path=""","",1),FIND("""",SUBSTITUTE(T_Channel[[#This Row],[Query]],"&lt;Select Path=""","",1))-1)
)</f>
        <v/>
      </c>
      <c r="S77" s="9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7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77" s="20" t="str">
        <f>IF(
   T_Channel[[#This Row],[Check]]&lt;&gt;"OK",
   "",
   T_Channel[[#This Row],[ChannelSymbol]] &amp; ".evtx"
)</f>
        <v/>
      </c>
      <c r="V77" s="20" t="str">
        <f>IF(
   T_Channel[[#This Row],[Check]]&lt;&gt;"OK",
   "",
   T_Channel[[#This Row],[LogFolder]] &amp; "\" &amp; T_Channel[[#This Row],[LogFile]]
)</f>
        <v/>
      </c>
      <c r="W77" s="20" t="str">
        <f>IF(
   T_Channel[[#This Row],[Safekeeping of logs]]="",
   "",
   VLOOKUP(T_Channel[[#This Row],[Safekeeping of logs]],T_List_LogMode[],2,FALSE)
)</f>
        <v/>
      </c>
      <c r="X77" s="2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78" spans="2:24" x14ac:dyDescent="0.45">
      <c r="B78" s="7"/>
      <c r="C78" s="7"/>
      <c r="D78" s="5"/>
      <c r="E78" s="5"/>
      <c r="F78" s="6"/>
      <c r="G78" s="6"/>
      <c r="H78" s="6"/>
      <c r="I78" s="6"/>
      <c r="J78" s="25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78" s="21"/>
      <c r="L78" s="5"/>
      <c r="M78" s="41"/>
      <c r="N78" s="10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78" s="25" t="str">
        <f>IF(
   T_Channel[[#This Row],[ProviderName]]="",
   "",
   COUNTIF($N$12:$N$9982,T_Channel[[#This Row],[ProviderName]])
)</f>
        <v/>
      </c>
      <c r="P78" s="25" t="str">
        <f>IF(
   T_Channel[[#This Row],[Check]]&lt;&gt;"OK",
   "",
   IF(
      T_Channel[[#This Row],[Query]]="",
      "Empty",
      "Defined"
   )
)</f>
        <v/>
      </c>
      <c r="Q78" s="51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78" s="2" t="str">
        <f>IF(
   T_Channel[[#This Row],[Query]]="",
   "",
   LEFT(SUBSTITUTE(T_Channel[[#This Row],[Query]],"&lt;Select Path=""","",1),FIND("""",SUBSTITUTE(T_Channel[[#This Row],[Query]],"&lt;Select Path=""","",1))-1)
)</f>
        <v/>
      </c>
      <c r="S78" s="9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7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78" s="20" t="str">
        <f>IF(
   T_Channel[[#This Row],[Check]]&lt;&gt;"OK",
   "",
   T_Channel[[#This Row],[ChannelSymbol]] &amp; ".evtx"
)</f>
        <v/>
      </c>
      <c r="V78" s="20" t="str">
        <f>IF(
   T_Channel[[#This Row],[Check]]&lt;&gt;"OK",
   "",
   T_Channel[[#This Row],[LogFolder]] &amp; "\" &amp; T_Channel[[#This Row],[LogFile]]
)</f>
        <v/>
      </c>
      <c r="W78" s="20" t="str">
        <f>IF(
   T_Channel[[#This Row],[Safekeeping of logs]]="",
   "",
   VLOOKUP(T_Channel[[#This Row],[Safekeeping of logs]],T_List_LogMode[],2,FALSE)
)</f>
        <v/>
      </c>
      <c r="X78" s="2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79" spans="2:24" x14ac:dyDescent="0.45">
      <c r="B79" s="7"/>
      <c r="C79" s="7"/>
      <c r="D79" s="5"/>
      <c r="E79" s="7"/>
      <c r="F79" s="6"/>
      <c r="G79" s="6"/>
      <c r="H79" s="6"/>
      <c r="I79" s="6"/>
      <c r="J79" s="25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79" s="13"/>
      <c r="L79" s="5"/>
      <c r="M79" s="41"/>
      <c r="N79" s="10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79" s="25" t="str">
        <f>IF(
   T_Channel[[#This Row],[ProviderName]]="",
   "",
   COUNTIF($N$12:$N$9982,T_Channel[[#This Row],[ProviderName]])
)</f>
        <v/>
      </c>
      <c r="P79" s="25" t="str">
        <f>IF(
   T_Channel[[#This Row],[Check]]&lt;&gt;"OK",
   "",
   IF(
      T_Channel[[#This Row],[Query]]="",
      "Empty",
      "Defined"
   )
)</f>
        <v/>
      </c>
      <c r="Q79" s="52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79" s="1" t="str">
        <f>IF(
   T_Channel[[#This Row],[Query]]="",
   "",
   LEFT(SUBSTITUTE(T_Channel[[#This Row],[Query]],"&lt;Select Path=""","",1),FIND("""",SUBSTITUTE(T_Channel[[#This Row],[Query]],"&lt;Select Path=""","",1))-1)
)</f>
        <v/>
      </c>
      <c r="S79" s="9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7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79" s="20" t="str">
        <f>IF(
   T_Channel[[#This Row],[Check]]&lt;&gt;"OK",
   "",
   T_Channel[[#This Row],[ChannelSymbol]] &amp; ".evtx"
)</f>
        <v/>
      </c>
      <c r="V79" s="20" t="str">
        <f>IF(
   T_Channel[[#This Row],[Check]]&lt;&gt;"OK",
   "",
   T_Channel[[#This Row],[LogFolder]] &amp; "\" &amp; T_Channel[[#This Row],[LogFile]]
)</f>
        <v/>
      </c>
      <c r="W79" s="20" t="str">
        <f>IF(
   T_Channel[[#This Row],[Safekeeping of logs]]="",
   "",
   VLOOKUP(T_Channel[[#This Row],[Safekeeping of logs]],T_List_LogMode[],2,FALSE)
)</f>
        <v/>
      </c>
      <c r="X79" s="2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80" spans="2:24" x14ac:dyDescent="0.45">
      <c r="B80" s="7"/>
      <c r="C80" s="7"/>
      <c r="D80" s="5"/>
      <c r="E80" s="5"/>
      <c r="F80" s="6"/>
      <c r="G80" s="6"/>
      <c r="H80" s="6"/>
      <c r="I80" s="6"/>
      <c r="J80" s="25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80" s="21"/>
      <c r="L80" s="5"/>
      <c r="M80" s="41"/>
      <c r="N80" s="10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80" s="25" t="str">
        <f>IF(
   T_Channel[[#This Row],[ProviderName]]="",
   "",
   COUNTIF($N$12:$N$9982,T_Channel[[#This Row],[ProviderName]])
)</f>
        <v/>
      </c>
      <c r="P80" s="25" t="str">
        <f>IF(
   T_Channel[[#This Row],[Check]]&lt;&gt;"OK",
   "",
   IF(
      T_Channel[[#This Row],[Query]]="",
      "Empty",
      "Defined"
   )
)</f>
        <v/>
      </c>
      <c r="Q80" s="51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80" s="2" t="str">
        <f>IF(
   T_Channel[[#This Row],[Query]]="",
   "",
   LEFT(SUBSTITUTE(T_Channel[[#This Row],[Query]],"&lt;Select Path=""","",1),FIND("""",SUBSTITUTE(T_Channel[[#This Row],[Query]],"&lt;Select Path=""","",1))-1)
)</f>
        <v/>
      </c>
      <c r="S80" s="9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8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80" s="20" t="str">
        <f>IF(
   T_Channel[[#This Row],[Check]]&lt;&gt;"OK",
   "",
   T_Channel[[#This Row],[ChannelSymbol]] &amp; ".evtx"
)</f>
        <v/>
      </c>
      <c r="V80" s="20" t="str">
        <f>IF(
   T_Channel[[#This Row],[Check]]&lt;&gt;"OK",
   "",
   T_Channel[[#This Row],[LogFolder]] &amp; "\" &amp; T_Channel[[#This Row],[LogFile]]
)</f>
        <v/>
      </c>
      <c r="W80" s="20" t="str">
        <f>IF(
   T_Channel[[#This Row],[Safekeeping of logs]]="",
   "",
   VLOOKUP(T_Channel[[#This Row],[Safekeeping of logs]],T_List_LogMode[],2,FALSE)
)</f>
        <v/>
      </c>
      <c r="X80" s="2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81" spans="2:24" x14ac:dyDescent="0.45">
      <c r="B81" s="7"/>
      <c r="C81" s="7"/>
      <c r="D81" s="5"/>
      <c r="E81" s="5"/>
      <c r="F81" s="6"/>
      <c r="G81" s="6"/>
      <c r="H81" s="6"/>
      <c r="I81" s="6"/>
      <c r="J81" s="25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81" s="13"/>
      <c r="L81" s="5"/>
      <c r="M81" s="41"/>
      <c r="N81" s="10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81" s="25" t="str">
        <f>IF(
   T_Channel[[#This Row],[ProviderName]]="",
   "",
   COUNTIF($N$12:$N$9982,T_Channel[[#This Row],[ProviderName]])
)</f>
        <v/>
      </c>
      <c r="P81" s="25" t="str">
        <f>IF(
   T_Channel[[#This Row],[Check]]&lt;&gt;"OK",
   "",
   IF(
      T_Channel[[#This Row],[Query]]="",
      "Empty",
      "Defined"
   )
)</f>
        <v/>
      </c>
      <c r="Q81" s="52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81" s="1" t="str">
        <f>IF(
   T_Channel[[#This Row],[Query]]="",
   "",
   LEFT(SUBSTITUTE(T_Channel[[#This Row],[Query]],"&lt;Select Path=""","",1),FIND("""",SUBSTITUTE(T_Channel[[#This Row],[Query]],"&lt;Select Path=""","",1))-1)
)</f>
        <v/>
      </c>
      <c r="S81" s="9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8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81" s="20" t="str">
        <f>IF(
   T_Channel[[#This Row],[Check]]&lt;&gt;"OK",
   "",
   T_Channel[[#This Row],[ChannelSymbol]] &amp; ".evtx"
)</f>
        <v/>
      </c>
      <c r="V81" s="20" t="str">
        <f>IF(
   T_Channel[[#This Row],[Check]]&lt;&gt;"OK",
   "",
   T_Channel[[#This Row],[LogFolder]] &amp; "\" &amp; T_Channel[[#This Row],[LogFile]]
)</f>
        <v/>
      </c>
      <c r="W81" s="20" t="str">
        <f>IF(
   T_Channel[[#This Row],[Safekeeping of logs]]="",
   "",
   VLOOKUP(T_Channel[[#This Row],[Safekeeping of logs]],T_List_LogMode[],2,FALSE)
)</f>
        <v/>
      </c>
      <c r="X81" s="2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82" spans="2:24" x14ac:dyDescent="0.45">
      <c r="B82" s="7"/>
      <c r="C82" s="7"/>
      <c r="D82" s="5"/>
      <c r="E82" s="5"/>
      <c r="F82" s="6"/>
      <c r="G82" s="6"/>
      <c r="H82" s="6"/>
      <c r="I82" s="6"/>
      <c r="J82" s="25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82" s="13"/>
      <c r="L82" s="5"/>
      <c r="M82" s="41"/>
      <c r="N82" s="10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82" s="25" t="str">
        <f>IF(
   T_Channel[[#This Row],[ProviderName]]="",
   "",
   COUNTIF($N$12:$N$9982,T_Channel[[#This Row],[ProviderName]])
)</f>
        <v/>
      </c>
      <c r="P82" s="25" t="str">
        <f>IF(
   T_Channel[[#This Row],[Check]]&lt;&gt;"OK",
   "",
   IF(
      T_Channel[[#This Row],[Query]]="",
      "Empty",
      "Defined"
   )
)</f>
        <v/>
      </c>
      <c r="Q82" s="52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82" s="1" t="str">
        <f>IF(
   T_Channel[[#This Row],[Query]]="",
   "",
   LEFT(SUBSTITUTE(T_Channel[[#This Row],[Query]],"&lt;Select Path=""","",1),FIND("""",SUBSTITUTE(T_Channel[[#This Row],[Query]],"&lt;Select Path=""","",1))-1)
)</f>
        <v/>
      </c>
      <c r="S82" s="9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8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82" s="20" t="str">
        <f>IF(
   T_Channel[[#This Row],[Check]]&lt;&gt;"OK",
   "",
   T_Channel[[#This Row],[ChannelSymbol]] &amp; ".evtx"
)</f>
        <v/>
      </c>
      <c r="V82" s="20" t="str">
        <f>IF(
   T_Channel[[#This Row],[Check]]&lt;&gt;"OK",
   "",
   T_Channel[[#This Row],[LogFolder]] &amp; "\" &amp; T_Channel[[#This Row],[LogFile]]
)</f>
        <v/>
      </c>
      <c r="W82" s="20" t="str">
        <f>IF(
   T_Channel[[#This Row],[Safekeeping of logs]]="",
   "",
   VLOOKUP(T_Channel[[#This Row],[Safekeeping of logs]],T_List_LogMode[],2,FALSE)
)</f>
        <v/>
      </c>
      <c r="X82" s="2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83" spans="2:24" x14ac:dyDescent="0.45">
      <c r="B83" s="7"/>
      <c r="C83" s="7"/>
      <c r="D83" s="5"/>
      <c r="E83" s="5"/>
      <c r="F83" s="6"/>
      <c r="G83" s="6"/>
      <c r="H83" s="6"/>
      <c r="I83" s="6"/>
      <c r="J83" s="25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83" s="21"/>
      <c r="L83" s="5"/>
      <c r="M83" s="41"/>
      <c r="N83" s="10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83" s="25" t="str">
        <f>IF(
   T_Channel[[#This Row],[ProviderName]]="",
   "",
   COUNTIF($N$12:$N$9982,T_Channel[[#This Row],[ProviderName]])
)</f>
        <v/>
      </c>
      <c r="P83" s="25" t="str">
        <f>IF(
   T_Channel[[#This Row],[Check]]&lt;&gt;"OK",
   "",
   IF(
      T_Channel[[#This Row],[Query]]="",
      "Empty",
      "Defined"
   )
)</f>
        <v/>
      </c>
      <c r="Q83" s="51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83" s="2" t="str">
        <f>IF(
   T_Channel[[#This Row],[Query]]="",
   "",
   LEFT(SUBSTITUTE(T_Channel[[#This Row],[Query]],"&lt;Select Path=""","",1),FIND("""",SUBSTITUTE(T_Channel[[#This Row],[Query]],"&lt;Select Path=""","",1))-1)
)</f>
        <v/>
      </c>
      <c r="S83" s="9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8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83" s="20" t="str">
        <f>IF(
   T_Channel[[#This Row],[Check]]&lt;&gt;"OK",
   "",
   T_Channel[[#This Row],[ChannelSymbol]] &amp; ".evtx"
)</f>
        <v/>
      </c>
      <c r="V83" s="20" t="str">
        <f>IF(
   T_Channel[[#This Row],[Check]]&lt;&gt;"OK",
   "",
   T_Channel[[#This Row],[LogFolder]] &amp; "\" &amp; T_Channel[[#This Row],[LogFile]]
)</f>
        <v/>
      </c>
      <c r="W83" s="20" t="str">
        <f>IF(
   T_Channel[[#This Row],[Safekeeping of logs]]="",
   "",
   VLOOKUP(T_Channel[[#This Row],[Safekeeping of logs]],T_List_LogMode[],2,FALSE)
)</f>
        <v/>
      </c>
      <c r="X83" s="2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84" spans="2:24" x14ac:dyDescent="0.45">
      <c r="B84" s="7"/>
      <c r="C84" s="7"/>
      <c r="D84" s="7"/>
      <c r="E84" s="7"/>
      <c r="F84" s="6"/>
      <c r="G84" s="6"/>
      <c r="H84" s="6"/>
      <c r="I84" s="6"/>
      <c r="J84" s="25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84" s="13"/>
      <c r="L84" s="5"/>
      <c r="M84" s="41"/>
      <c r="N84" s="10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84" s="25" t="str">
        <f>IF(
   T_Channel[[#This Row],[ProviderName]]="",
   "",
   COUNTIF($N$12:$N$9982,T_Channel[[#This Row],[ProviderName]])
)</f>
        <v/>
      </c>
      <c r="P84" s="25" t="str">
        <f>IF(
   T_Channel[[#This Row],[Check]]&lt;&gt;"OK",
   "",
   IF(
      T_Channel[[#This Row],[Query]]="",
      "Empty",
      "Defined"
   )
)</f>
        <v/>
      </c>
      <c r="Q84" s="51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84" s="2" t="str">
        <f>IF(
   T_Channel[[#This Row],[Query]]="",
   "",
   LEFT(SUBSTITUTE(T_Channel[[#This Row],[Query]],"&lt;Select Path=""","",1),FIND("""",SUBSTITUTE(T_Channel[[#This Row],[Query]],"&lt;Select Path=""","",1))-1)
)</f>
        <v/>
      </c>
      <c r="S84" s="9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8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84" s="20" t="str">
        <f>IF(
   T_Channel[[#This Row],[Check]]&lt;&gt;"OK",
   "",
   T_Channel[[#This Row],[ChannelSymbol]] &amp; ".evtx"
)</f>
        <v/>
      </c>
      <c r="V84" s="20" t="str">
        <f>IF(
   T_Channel[[#This Row],[Check]]&lt;&gt;"OK",
   "",
   T_Channel[[#This Row],[LogFolder]] &amp; "\" &amp; T_Channel[[#This Row],[LogFile]]
)</f>
        <v/>
      </c>
      <c r="W84" s="20" t="str">
        <f>IF(
   T_Channel[[#This Row],[Safekeeping of logs]]="",
   "",
   VLOOKUP(T_Channel[[#This Row],[Safekeeping of logs]],T_List_LogMode[],2,FALSE)
)</f>
        <v/>
      </c>
      <c r="X84" s="2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85" spans="2:24" x14ac:dyDescent="0.45">
      <c r="B85" s="7"/>
      <c r="C85" s="7"/>
      <c r="D85" s="5"/>
      <c r="E85" s="5"/>
      <c r="F85" s="6"/>
      <c r="G85" s="6"/>
      <c r="H85" s="6"/>
      <c r="I85" s="6"/>
      <c r="J85" s="25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85" s="13"/>
      <c r="L85" s="5"/>
      <c r="M85" s="41"/>
      <c r="N85" s="10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85" s="25" t="str">
        <f>IF(
   T_Channel[[#This Row],[ProviderName]]="",
   "",
   COUNTIF($N$12:$N$9982,T_Channel[[#This Row],[ProviderName]])
)</f>
        <v/>
      </c>
      <c r="P85" s="25" t="str">
        <f>IF(
   T_Channel[[#This Row],[Check]]&lt;&gt;"OK",
   "",
   IF(
      T_Channel[[#This Row],[Query]]="",
      "Empty",
      "Defined"
   )
)</f>
        <v/>
      </c>
      <c r="Q85" s="51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85" s="2" t="str">
        <f>IF(
   T_Channel[[#This Row],[Query]]="",
   "",
   LEFT(SUBSTITUTE(T_Channel[[#This Row],[Query]],"&lt;Select Path=""","",1),FIND("""",SUBSTITUTE(T_Channel[[#This Row],[Query]],"&lt;Select Path=""","",1))-1)
)</f>
        <v/>
      </c>
      <c r="S85" s="9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8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85" s="20" t="str">
        <f>IF(
   T_Channel[[#This Row],[Check]]&lt;&gt;"OK",
   "",
   T_Channel[[#This Row],[ChannelSymbol]] &amp; ".evtx"
)</f>
        <v/>
      </c>
      <c r="V85" s="20" t="str">
        <f>IF(
   T_Channel[[#This Row],[Check]]&lt;&gt;"OK",
   "",
   T_Channel[[#This Row],[LogFolder]] &amp; "\" &amp; T_Channel[[#This Row],[LogFile]]
)</f>
        <v/>
      </c>
      <c r="W85" s="20" t="str">
        <f>IF(
   T_Channel[[#This Row],[Safekeeping of logs]]="",
   "",
   VLOOKUP(T_Channel[[#This Row],[Safekeeping of logs]],T_List_LogMode[],2,FALSE)
)</f>
        <v/>
      </c>
      <c r="X85" s="2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86" spans="2:24" x14ac:dyDescent="0.45">
      <c r="B86" s="7"/>
      <c r="C86" s="7"/>
      <c r="D86" s="5"/>
      <c r="E86" s="5"/>
      <c r="F86" s="6"/>
      <c r="G86" s="6"/>
      <c r="H86" s="6"/>
      <c r="I86" s="6"/>
      <c r="J86" s="25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86" s="13"/>
      <c r="L86" s="5"/>
      <c r="M86" s="41"/>
      <c r="N86" s="10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86" s="25" t="str">
        <f>IF(
   T_Channel[[#This Row],[ProviderName]]="",
   "",
   COUNTIF($N$12:$N$9982,T_Channel[[#This Row],[ProviderName]])
)</f>
        <v/>
      </c>
      <c r="P86" s="25" t="str">
        <f>IF(
   T_Channel[[#This Row],[Check]]&lt;&gt;"OK",
   "",
   IF(
      T_Channel[[#This Row],[Query]]="",
      "Empty",
      "Defined"
   )
)</f>
        <v/>
      </c>
      <c r="Q86" s="51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86" s="2" t="str">
        <f>IF(
   T_Channel[[#This Row],[Query]]="",
   "",
   LEFT(SUBSTITUTE(T_Channel[[#This Row],[Query]],"&lt;Select Path=""","",1),FIND("""",SUBSTITUTE(T_Channel[[#This Row],[Query]],"&lt;Select Path=""","",1))-1)
)</f>
        <v/>
      </c>
      <c r="S86" s="9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8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86" s="20" t="str">
        <f>IF(
   T_Channel[[#This Row],[Check]]&lt;&gt;"OK",
   "",
   T_Channel[[#This Row],[ChannelSymbol]] &amp; ".evtx"
)</f>
        <v/>
      </c>
      <c r="V86" s="20" t="str">
        <f>IF(
   T_Channel[[#This Row],[Check]]&lt;&gt;"OK",
   "",
   T_Channel[[#This Row],[LogFolder]] &amp; "\" &amp; T_Channel[[#This Row],[LogFile]]
)</f>
        <v/>
      </c>
      <c r="W86" s="20" t="str">
        <f>IF(
   T_Channel[[#This Row],[Safekeeping of logs]]="",
   "",
   VLOOKUP(T_Channel[[#This Row],[Safekeeping of logs]],T_List_LogMode[],2,FALSE)
)</f>
        <v/>
      </c>
      <c r="X86" s="2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87" spans="2:24" x14ac:dyDescent="0.45">
      <c r="B87" s="7"/>
      <c r="C87" s="7"/>
      <c r="D87" s="5"/>
      <c r="E87" s="5"/>
      <c r="F87" s="6"/>
      <c r="G87" s="6"/>
      <c r="H87" s="6"/>
      <c r="I87" s="6"/>
      <c r="J87" s="25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87" s="13"/>
      <c r="L87" s="5"/>
      <c r="M87" s="41"/>
      <c r="N87" s="10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87" s="25" t="str">
        <f>IF(
   T_Channel[[#This Row],[ProviderName]]="",
   "",
   COUNTIF($N$12:$N$9982,T_Channel[[#This Row],[ProviderName]])
)</f>
        <v/>
      </c>
      <c r="P87" s="25" t="str">
        <f>IF(
   T_Channel[[#This Row],[Check]]&lt;&gt;"OK",
   "",
   IF(
      T_Channel[[#This Row],[Query]]="",
      "Empty",
      "Defined"
   )
)</f>
        <v/>
      </c>
      <c r="Q87" s="51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87" s="2" t="str">
        <f>IF(
   T_Channel[[#This Row],[Query]]="",
   "",
   LEFT(SUBSTITUTE(T_Channel[[#This Row],[Query]],"&lt;Select Path=""","",1),FIND("""",SUBSTITUTE(T_Channel[[#This Row],[Query]],"&lt;Select Path=""","",1))-1)
)</f>
        <v/>
      </c>
      <c r="S87" s="9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8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87" s="20" t="str">
        <f>IF(
   T_Channel[[#This Row],[Check]]&lt;&gt;"OK",
   "",
   T_Channel[[#This Row],[ChannelSymbol]] &amp; ".evtx"
)</f>
        <v/>
      </c>
      <c r="V87" s="20" t="str">
        <f>IF(
   T_Channel[[#This Row],[Check]]&lt;&gt;"OK",
   "",
   T_Channel[[#This Row],[LogFolder]] &amp; "\" &amp; T_Channel[[#This Row],[LogFile]]
)</f>
        <v/>
      </c>
      <c r="W87" s="20" t="str">
        <f>IF(
   T_Channel[[#This Row],[Safekeeping of logs]]="",
   "",
   VLOOKUP(T_Channel[[#This Row],[Safekeeping of logs]],T_List_LogMode[],2,FALSE)
)</f>
        <v/>
      </c>
      <c r="X87" s="2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88" spans="2:24" x14ac:dyDescent="0.45">
      <c r="B88" s="7"/>
      <c r="C88" s="7"/>
      <c r="D88" s="5"/>
      <c r="E88" s="5"/>
      <c r="F88" s="6"/>
      <c r="G88" s="6"/>
      <c r="H88" s="6"/>
      <c r="I88" s="6"/>
      <c r="J88" s="25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88" s="13"/>
      <c r="L88" s="5"/>
      <c r="M88" s="41"/>
      <c r="N88" s="10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88" s="25" t="str">
        <f>IF(
   T_Channel[[#This Row],[ProviderName]]="",
   "",
   COUNTIF($N$12:$N$9982,T_Channel[[#This Row],[ProviderName]])
)</f>
        <v/>
      </c>
      <c r="P88" s="25" t="str">
        <f>IF(
   T_Channel[[#This Row],[Check]]&lt;&gt;"OK",
   "",
   IF(
      T_Channel[[#This Row],[Query]]="",
      "Empty",
      "Defined"
   )
)</f>
        <v/>
      </c>
      <c r="Q88" s="51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88" s="2" t="str">
        <f>IF(
   T_Channel[[#This Row],[Query]]="",
   "",
   LEFT(SUBSTITUTE(T_Channel[[#This Row],[Query]],"&lt;Select Path=""","",1),FIND("""",SUBSTITUTE(T_Channel[[#This Row],[Query]],"&lt;Select Path=""","",1))-1)
)</f>
        <v/>
      </c>
      <c r="S88" s="9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8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88" s="20" t="str">
        <f>IF(
   T_Channel[[#This Row],[Check]]&lt;&gt;"OK",
   "",
   T_Channel[[#This Row],[ChannelSymbol]] &amp; ".evtx"
)</f>
        <v/>
      </c>
      <c r="V88" s="20" t="str">
        <f>IF(
   T_Channel[[#This Row],[Check]]&lt;&gt;"OK",
   "",
   T_Channel[[#This Row],[LogFolder]] &amp; "\" &amp; T_Channel[[#This Row],[LogFile]]
)</f>
        <v/>
      </c>
      <c r="W88" s="20" t="str">
        <f>IF(
   T_Channel[[#This Row],[Safekeeping of logs]]="",
   "",
   VLOOKUP(T_Channel[[#This Row],[Safekeeping of logs]],T_List_LogMode[],2,FALSE)
)</f>
        <v/>
      </c>
      <c r="X88" s="2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89" spans="2:24" x14ac:dyDescent="0.45">
      <c r="B89" s="7"/>
      <c r="C89" s="7"/>
      <c r="D89" s="5"/>
      <c r="E89" s="5"/>
      <c r="F89" s="6"/>
      <c r="G89" s="6"/>
      <c r="H89" s="6"/>
      <c r="I89" s="6"/>
      <c r="J89" s="25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89" s="13"/>
      <c r="L89" s="5"/>
      <c r="M89" s="41"/>
      <c r="N89" s="10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89" s="25" t="str">
        <f>IF(
   T_Channel[[#This Row],[ProviderName]]="",
   "",
   COUNTIF($N$12:$N$9982,T_Channel[[#This Row],[ProviderName]])
)</f>
        <v/>
      </c>
      <c r="P89" s="25" t="str">
        <f>IF(
   T_Channel[[#This Row],[Check]]&lt;&gt;"OK",
   "",
   IF(
      T_Channel[[#This Row],[Query]]="",
      "Empty",
      "Defined"
   )
)</f>
        <v/>
      </c>
      <c r="Q89" s="51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89" s="2" t="str">
        <f>IF(
   T_Channel[[#This Row],[Query]]="",
   "",
   LEFT(SUBSTITUTE(T_Channel[[#This Row],[Query]],"&lt;Select Path=""","",1),FIND("""",SUBSTITUTE(T_Channel[[#This Row],[Query]],"&lt;Select Path=""","",1))-1)
)</f>
        <v/>
      </c>
      <c r="S89" s="9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8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89" s="20" t="str">
        <f>IF(
   T_Channel[[#This Row],[Check]]&lt;&gt;"OK",
   "",
   T_Channel[[#This Row],[ChannelSymbol]] &amp; ".evtx"
)</f>
        <v/>
      </c>
      <c r="V89" s="20" t="str">
        <f>IF(
   T_Channel[[#This Row],[Check]]&lt;&gt;"OK",
   "",
   T_Channel[[#This Row],[LogFolder]] &amp; "\" &amp; T_Channel[[#This Row],[LogFile]]
)</f>
        <v/>
      </c>
      <c r="W89" s="20" t="str">
        <f>IF(
   T_Channel[[#This Row],[Safekeeping of logs]]="",
   "",
   VLOOKUP(T_Channel[[#This Row],[Safekeeping of logs]],T_List_LogMode[],2,FALSE)
)</f>
        <v/>
      </c>
      <c r="X89" s="2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90" spans="2:24" x14ac:dyDescent="0.45">
      <c r="B90" s="7"/>
      <c r="C90" s="7"/>
      <c r="D90" s="5"/>
      <c r="E90" s="5"/>
      <c r="F90" s="6"/>
      <c r="G90" s="6"/>
      <c r="H90" s="6"/>
      <c r="I90" s="6"/>
      <c r="J90" s="25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90" s="13"/>
      <c r="L90" s="5"/>
      <c r="M90" s="41"/>
      <c r="N90" s="10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90" s="25" t="str">
        <f>IF(
   T_Channel[[#This Row],[ProviderName]]="",
   "",
   COUNTIF($N$12:$N$9982,T_Channel[[#This Row],[ProviderName]])
)</f>
        <v/>
      </c>
      <c r="P90" s="25" t="str">
        <f>IF(
   T_Channel[[#This Row],[Check]]&lt;&gt;"OK",
   "",
   IF(
      T_Channel[[#This Row],[Query]]="",
      "Empty",
      "Defined"
   )
)</f>
        <v/>
      </c>
      <c r="Q90" s="51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90" s="2" t="str">
        <f>IF(
   T_Channel[[#This Row],[Query]]="",
   "",
   LEFT(SUBSTITUTE(T_Channel[[#This Row],[Query]],"&lt;Select Path=""","",1),FIND("""",SUBSTITUTE(T_Channel[[#This Row],[Query]],"&lt;Select Path=""","",1))-1)
)</f>
        <v/>
      </c>
      <c r="S90" s="9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9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90" s="20" t="str">
        <f>IF(
   T_Channel[[#This Row],[Check]]&lt;&gt;"OK",
   "",
   T_Channel[[#This Row],[ChannelSymbol]] &amp; ".evtx"
)</f>
        <v/>
      </c>
      <c r="V90" s="20" t="str">
        <f>IF(
   T_Channel[[#This Row],[Check]]&lt;&gt;"OK",
   "",
   T_Channel[[#This Row],[LogFolder]] &amp; "\" &amp; T_Channel[[#This Row],[LogFile]]
)</f>
        <v/>
      </c>
      <c r="W90" s="20" t="str">
        <f>IF(
   T_Channel[[#This Row],[Safekeeping of logs]]="",
   "",
   VLOOKUP(T_Channel[[#This Row],[Safekeeping of logs]],T_List_LogMode[],2,FALSE)
)</f>
        <v/>
      </c>
      <c r="X90" s="2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91" spans="2:24" x14ac:dyDescent="0.45">
      <c r="B91" s="7"/>
      <c r="C91" s="7"/>
      <c r="D91" s="5"/>
      <c r="E91" s="5"/>
      <c r="F91" s="6"/>
      <c r="G91" s="6"/>
      <c r="H91" s="6"/>
      <c r="I91" s="6"/>
      <c r="J91" s="25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91" s="13"/>
      <c r="L91" s="5"/>
      <c r="M91" s="41"/>
      <c r="N91" s="10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91" s="25" t="str">
        <f>IF(
   T_Channel[[#This Row],[ProviderName]]="",
   "",
   COUNTIF($N$12:$N$9982,T_Channel[[#This Row],[ProviderName]])
)</f>
        <v/>
      </c>
      <c r="P91" s="25" t="str">
        <f>IF(
   T_Channel[[#This Row],[Check]]&lt;&gt;"OK",
   "",
   IF(
      T_Channel[[#This Row],[Query]]="",
      "Empty",
      "Defined"
   )
)</f>
        <v/>
      </c>
      <c r="Q91" s="51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91" s="2" t="str">
        <f>IF(
   T_Channel[[#This Row],[Query]]="",
   "",
   LEFT(SUBSTITUTE(T_Channel[[#This Row],[Query]],"&lt;Select Path=""","",1),FIND("""",SUBSTITUTE(T_Channel[[#This Row],[Query]],"&lt;Select Path=""","",1))-1)
)</f>
        <v/>
      </c>
      <c r="S91" s="9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9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91" s="20" t="str">
        <f>IF(
   T_Channel[[#This Row],[Check]]&lt;&gt;"OK",
   "",
   T_Channel[[#This Row],[ChannelSymbol]] &amp; ".evtx"
)</f>
        <v/>
      </c>
      <c r="V91" s="20" t="str">
        <f>IF(
   T_Channel[[#This Row],[Check]]&lt;&gt;"OK",
   "",
   T_Channel[[#This Row],[LogFolder]] &amp; "\" &amp; T_Channel[[#This Row],[LogFile]]
)</f>
        <v/>
      </c>
      <c r="W91" s="20" t="str">
        <f>IF(
   T_Channel[[#This Row],[Safekeeping of logs]]="",
   "",
   VLOOKUP(T_Channel[[#This Row],[Safekeeping of logs]],T_List_LogMode[],2,FALSE)
)</f>
        <v/>
      </c>
      <c r="X91" s="2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92" spans="2:24" x14ac:dyDescent="0.45">
      <c r="B92" s="7"/>
      <c r="C92" s="7"/>
      <c r="D92" s="5"/>
      <c r="E92" s="5"/>
      <c r="F92" s="6"/>
      <c r="G92" s="6"/>
      <c r="H92" s="6"/>
      <c r="I92" s="6"/>
      <c r="J92" s="25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92" s="13"/>
      <c r="L92" s="5"/>
      <c r="M92" s="41"/>
      <c r="N92" s="10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92" s="25" t="str">
        <f>IF(
   T_Channel[[#This Row],[ProviderName]]="",
   "",
   COUNTIF($N$12:$N$9982,T_Channel[[#This Row],[ProviderName]])
)</f>
        <v/>
      </c>
      <c r="P92" s="25" t="str">
        <f>IF(
   T_Channel[[#This Row],[Check]]&lt;&gt;"OK",
   "",
   IF(
      T_Channel[[#This Row],[Query]]="",
      "Empty",
      "Defined"
   )
)</f>
        <v/>
      </c>
      <c r="Q92" s="51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92" s="2" t="str">
        <f>IF(
   T_Channel[[#This Row],[Query]]="",
   "",
   LEFT(SUBSTITUTE(T_Channel[[#This Row],[Query]],"&lt;Select Path=""","",1),FIND("""",SUBSTITUTE(T_Channel[[#This Row],[Query]],"&lt;Select Path=""","",1))-1)
)</f>
        <v/>
      </c>
      <c r="S92" s="9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9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92" s="20" t="str">
        <f>IF(
   T_Channel[[#This Row],[Check]]&lt;&gt;"OK",
   "",
   T_Channel[[#This Row],[ChannelSymbol]] &amp; ".evtx"
)</f>
        <v/>
      </c>
      <c r="V92" s="20" t="str">
        <f>IF(
   T_Channel[[#This Row],[Check]]&lt;&gt;"OK",
   "",
   T_Channel[[#This Row],[LogFolder]] &amp; "\" &amp; T_Channel[[#This Row],[LogFile]]
)</f>
        <v/>
      </c>
      <c r="W92" s="20" t="str">
        <f>IF(
   T_Channel[[#This Row],[Safekeeping of logs]]="",
   "",
   VLOOKUP(T_Channel[[#This Row],[Safekeeping of logs]],T_List_LogMode[],2,FALSE)
)</f>
        <v/>
      </c>
      <c r="X92" s="2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93" spans="2:24" x14ac:dyDescent="0.45">
      <c r="B93" s="7"/>
      <c r="C93" s="5"/>
      <c r="D93" s="5"/>
      <c r="E93" s="5"/>
      <c r="F93" s="6"/>
      <c r="G93" s="6"/>
      <c r="H93" s="6"/>
      <c r="I93" s="6"/>
      <c r="J93" s="25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93" s="13"/>
      <c r="L93" s="5"/>
      <c r="M93" s="41"/>
      <c r="N93" s="10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93" s="25" t="str">
        <f>IF(
   T_Channel[[#This Row],[ProviderName]]="",
   "",
   COUNTIF($N$12:$N$9982,T_Channel[[#This Row],[ProviderName]])
)</f>
        <v/>
      </c>
      <c r="P93" s="25" t="str">
        <f>IF(
   T_Channel[[#This Row],[Check]]&lt;&gt;"OK",
   "",
   IF(
      T_Channel[[#This Row],[Query]]="",
      "Empty",
      "Defined"
   )
)</f>
        <v/>
      </c>
      <c r="Q93" s="51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93" s="2" t="str">
        <f>IF(
   T_Channel[[#This Row],[Query]]="",
   "",
   LEFT(SUBSTITUTE(T_Channel[[#This Row],[Query]],"&lt;Select Path=""","",1),FIND("""",SUBSTITUTE(T_Channel[[#This Row],[Query]],"&lt;Select Path=""","",1))-1)
)</f>
        <v/>
      </c>
      <c r="S93" s="9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9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93" s="20" t="str">
        <f>IF(
   T_Channel[[#This Row],[Check]]&lt;&gt;"OK",
   "",
   T_Channel[[#This Row],[ChannelSymbol]] &amp; ".evtx"
)</f>
        <v/>
      </c>
      <c r="V93" s="20" t="str">
        <f>IF(
   T_Channel[[#This Row],[Check]]&lt;&gt;"OK",
   "",
   T_Channel[[#This Row],[LogFolder]] &amp; "\" &amp; T_Channel[[#This Row],[LogFile]]
)</f>
        <v/>
      </c>
      <c r="W93" s="20" t="str">
        <f>IF(
   T_Channel[[#This Row],[Safekeeping of logs]]="",
   "",
   VLOOKUP(T_Channel[[#This Row],[Safekeeping of logs]],T_List_LogMode[],2,FALSE)
)</f>
        <v/>
      </c>
      <c r="X93" s="2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94" spans="2:24" x14ac:dyDescent="0.45">
      <c r="B94" s="7"/>
      <c r="C94" s="5"/>
      <c r="D94" s="5"/>
      <c r="E94" s="5"/>
      <c r="F94" s="6"/>
      <c r="G94" s="6"/>
      <c r="H94" s="6"/>
      <c r="I94" s="6"/>
      <c r="J94" s="25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94" s="13"/>
      <c r="L94" s="5"/>
      <c r="M94" s="41"/>
      <c r="N94" s="10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94" s="25" t="str">
        <f>IF(
   T_Channel[[#This Row],[ProviderName]]="",
   "",
   COUNTIF($N$12:$N$9982,T_Channel[[#This Row],[ProviderName]])
)</f>
        <v/>
      </c>
      <c r="P94" s="25" t="str">
        <f>IF(
   T_Channel[[#This Row],[Check]]&lt;&gt;"OK",
   "",
   IF(
      T_Channel[[#This Row],[Query]]="",
      "Empty",
      "Defined"
   )
)</f>
        <v/>
      </c>
      <c r="Q94" s="51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94" s="2" t="str">
        <f>IF(
   T_Channel[[#This Row],[Query]]="",
   "",
   LEFT(SUBSTITUTE(T_Channel[[#This Row],[Query]],"&lt;Select Path=""","",1),FIND("""",SUBSTITUTE(T_Channel[[#This Row],[Query]],"&lt;Select Path=""","",1))-1)
)</f>
        <v/>
      </c>
      <c r="S94" s="9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9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94" s="20" t="str">
        <f>IF(
   T_Channel[[#This Row],[Check]]&lt;&gt;"OK",
   "",
   T_Channel[[#This Row],[ChannelSymbol]] &amp; ".evtx"
)</f>
        <v/>
      </c>
      <c r="V94" s="20" t="str">
        <f>IF(
   T_Channel[[#This Row],[Check]]&lt;&gt;"OK",
   "",
   T_Channel[[#This Row],[LogFolder]] &amp; "\" &amp; T_Channel[[#This Row],[LogFile]]
)</f>
        <v/>
      </c>
      <c r="W94" s="20" t="str">
        <f>IF(
   T_Channel[[#This Row],[Safekeeping of logs]]="",
   "",
   VLOOKUP(T_Channel[[#This Row],[Safekeeping of logs]],T_List_LogMode[],2,FALSE)
)</f>
        <v/>
      </c>
      <c r="X94" s="2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95" spans="2:24" x14ac:dyDescent="0.45">
      <c r="B95" s="7"/>
      <c r="C95" s="5"/>
      <c r="D95" s="5"/>
      <c r="E95" s="5"/>
      <c r="F95" s="6"/>
      <c r="G95" s="6"/>
      <c r="H95" s="6"/>
      <c r="I95" s="6"/>
      <c r="J95" s="25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95" s="13"/>
      <c r="L95" s="5"/>
      <c r="M95" s="41"/>
      <c r="N95" s="10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95" s="25" t="str">
        <f>IF(
   T_Channel[[#This Row],[ProviderName]]="",
   "",
   COUNTIF($N$12:$N$9982,T_Channel[[#This Row],[ProviderName]])
)</f>
        <v/>
      </c>
      <c r="P95" s="25" t="str">
        <f>IF(
   T_Channel[[#This Row],[Check]]&lt;&gt;"OK",
   "",
   IF(
      T_Channel[[#This Row],[Query]]="",
      "Empty",
      "Defined"
   )
)</f>
        <v/>
      </c>
      <c r="Q95" s="51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95" s="2" t="str">
        <f>IF(
   T_Channel[[#This Row],[Query]]="",
   "",
   LEFT(SUBSTITUTE(T_Channel[[#This Row],[Query]],"&lt;Select Path=""","",1),FIND("""",SUBSTITUTE(T_Channel[[#This Row],[Query]],"&lt;Select Path=""","",1))-1)
)</f>
        <v/>
      </c>
      <c r="S95" s="9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9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95" s="20" t="str">
        <f>IF(
   T_Channel[[#This Row],[Check]]&lt;&gt;"OK",
   "",
   T_Channel[[#This Row],[ChannelSymbol]] &amp; ".evtx"
)</f>
        <v/>
      </c>
      <c r="V95" s="20" t="str">
        <f>IF(
   T_Channel[[#This Row],[Check]]&lt;&gt;"OK",
   "",
   T_Channel[[#This Row],[LogFolder]] &amp; "\" &amp; T_Channel[[#This Row],[LogFile]]
)</f>
        <v/>
      </c>
      <c r="W95" s="20" t="str">
        <f>IF(
   T_Channel[[#This Row],[Safekeeping of logs]]="",
   "",
   VLOOKUP(T_Channel[[#This Row],[Safekeeping of logs]],T_List_LogMode[],2,FALSE)
)</f>
        <v/>
      </c>
      <c r="X95" s="2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96" spans="2:24" x14ac:dyDescent="0.45">
      <c r="B96" s="7"/>
      <c r="C96" s="5"/>
      <c r="D96" s="5"/>
      <c r="E96" s="5"/>
      <c r="F96" s="6"/>
      <c r="G96" s="6"/>
      <c r="H96" s="6"/>
      <c r="I96" s="6"/>
      <c r="J96" s="25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96" s="13"/>
      <c r="L96" s="5"/>
      <c r="M96" s="41"/>
      <c r="N96" s="10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96" s="25" t="str">
        <f>IF(
   T_Channel[[#This Row],[ProviderName]]="",
   "",
   COUNTIF($N$12:$N$9982,T_Channel[[#This Row],[ProviderName]])
)</f>
        <v/>
      </c>
      <c r="P96" s="25" t="str">
        <f>IF(
   T_Channel[[#This Row],[Check]]&lt;&gt;"OK",
   "",
   IF(
      T_Channel[[#This Row],[Query]]="",
      "Empty",
      "Defined"
   )
)</f>
        <v/>
      </c>
      <c r="Q96" s="51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96" s="2" t="str">
        <f>IF(
   T_Channel[[#This Row],[Query]]="",
   "",
   LEFT(SUBSTITUTE(T_Channel[[#This Row],[Query]],"&lt;Select Path=""","",1),FIND("""",SUBSTITUTE(T_Channel[[#This Row],[Query]],"&lt;Select Path=""","",1))-1)
)</f>
        <v/>
      </c>
      <c r="S96" s="9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9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96" s="20" t="str">
        <f>IF(
   T_Channel[[#This Row],[Check]]&lt;&gt;"OK",
   "",
   T_Channel[[#This Row],[ChannelSymbol]] &amp; ".evtx"
)</f>
        <v/>
      </c>
      <c r="V96" s="20" t="str">
        <f>IF(
   T_Channel[[#This Row],[Check]]&lt;&gt;"OK",
   "",
   T_Channel[[#This Row],[LogFolder]] &amp; "\" &amp; T_Channel[[#This Row],[LogFile]]
)</f>
        <v/>
      </c>
      <c r="W96" s="20" t="str">
        <f>IF(
   T_Channel[[#This Row],[Safekeeping of logs]]="",
   "",
   VLOOKUP(T_Channel[[#This Row],[Safekeeping of logs]],T_List_LogMode[],2,FALSE)
)</f>
        <v/>
      </c>
      <c r="X96" s="2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97" spans="2:24" x14ac:dyDescent="0.45">
      <c r="B97" s="7"/>
      <c r="C97" s="5"/>
      <c r="D97" s="5"/>
      <c r="E97" s="5"/>
      <c r="F97" s="6"/>
      <c r="G97" s="6"/>
      <c r="H97" s="6"/>
      <c r="I97" s="6"/>
      <c r="J97" s="25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97" s="13"/>
      <c r="L97" s="5"/>
      <c r="M97" s="41"/>
      <c r="N97" s="10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97" s="25" t="str">
        <f>IF(
   T_Channel[[#This Row],[ProviderName]]="",
   "",
   COUNTIF($N$12:$N$9982,T_Channel[[#This Row],[ProviderName]])
)</f>
        <v/>
      </c>
      <c r="P97" s="25" t="str">
        <f>IF(
   T_Channel[[#This Row],[Check]]&lt;&gt;"OK",
   "",
   IF(
      T_Channel[[#This Row],[Query]]="",
      "Empty",
      "Defined"
   )
)</f>
        <v/>
      </c>
      <c r="Q97" s="51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97" s="2" t="str">
        <f>IF(
   T_Channel[[#This Row],[Query]]="",
   "",
   LEFT(SUBSTITUTE(T_Channel[[#This Row],[Query]],"&lt;Select Path=""","",1),FIND("""",SUBSTITUTE(T_Channel[[#This Row],[Query]],"&lt;Select Path=""","",1))-1)
)</f>
        <v/>
      </c>
      <c r="S97" s="9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9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97" s="20" t="str">
        <f>IF(
   T_Channel[[#This Row],[Check]]&lt;&gt;"OK",
   "",
   T_Channel[[#This Row],[ChannelSymbol]] &amp; ".evtx"
)</f>
        <v/>
      </c>
      <c r="V97" s="20" t="str">
        <f>IF(
   T_Channel[[#This Row],[Check]]&lt;&gt;"OK",
   "",
   T_Channel[[#This Row],[LogFolder]] &amp; "\" &amp; T_Channel[[#This Row],[LogFile]]
)</f>
        <v/>
      </c>
      <c r="W97" s="20" t="str">
        <f>IF(
   T_Channel[[#This Row],[Safekeeping of logs]]="",
   "",
   VLOOKUP(T_Channel[[#This Row],[Safekeeping of logs]],T_List_LogMode[],2,FALSE)
)</f>
        <v/>
      </c>
      <c r="X97" s="2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98" spans="2:24" x14ac:dyDescent="0.45">
      <c r="B98" s="7"/>
      <c r="C98" s="5"/>
      <c r="D98" s="5"/>
      <c r="E98" s="5"/>
      <c r="F98" s="6"/>
      <c r="G98" s="6"/>
      <c r="H98" s="6"/>
      <c r="I98" s="6"/>
      <c r="J98" s="25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98" s="13"/>
      <c r="L98" s="5"/>
      <c r="M98" s="41"/>
      <c r="N98" s="10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98" s="25" t="str">
        <f>IF(
   T_Channel[[#This Row],[ProviderName]]="",
   "",
   COUNTIF($N$12:$N$9982,T_Channel[[#This Row],[ProviderName]])
)</f>
        <v/>
      </c>
      <c r="P98" s="25" t="str">
        <f>IF(
   T_Channel[[#This Row],[Check]]&lt;&gt;"OK",
   "",
   IF(
      T_Channel[[#This Row],[Query]]="",
      "Empty",
      "Defined"
   )
)</f>
        <v/>
      </c>
      <c r="Q98" s="51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98" s="2" t="str">
        <f>IF(
   T_Channel[[#This Row],[Query]]="",
   "",
   LEFT(SUBSTITUTE(T_Channel[[#This Row],[Query]],"&lt;Select Path=""","",1),FIND("""",SUBSTITUTE(T_Channel[[#This Row],[Query]],"&lt;Select Path=""","",1))-1)
)</f>
        <v/>
      </c>
      <c r="S98" s="9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9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98" s="20" t="str">
        <f>IF(
   T_Channel[[#This Row],[Check]]&lt;&gt;"OK",
   "",
   T_Channel[[#This Row],[ChannelSymbol]] &amp; ".evtx"
)</f>
        <v/>
      </c>
      <c r="V98" s="20" t="str">
        <f>IF(
   T_Channel[[#This Row],[Check]]&lt;&gt;"OK",
   "",
   T_Channel[[#This Row],[LogFolder]] &amp; "\" &amp; T_Channel[[#This Row],[LogFile]]
)</f>
        <v/>
      </c>
      <c r="W98" s="20" t="str">
        <f>IF(
   T_Channel[[#This Row],[Safekeeping of logs]]="",
   "",
   VLOOKUP(T_Channel[[#This Row],[Safekeeping of logs]],T_List_LogMode[],2,FALSE)
)</f>
        <v/>
      </c>
      <c r="X98" s="2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99" spans="2:24" x14ac:dyDescent="0.45">
      <c r="B99" s="7"/>
      <c r="C99" s="5"/>
      <c r="D99" s="5"/>
      <c r="E99" s="5"/>
      <c r="F99" s="6"/>
      <c r="G99" s="6"/>
      <c r="H99" s="6"/>
      <c r="I99" s="6"/>
      <c r="J99" s="25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99" s="13"/>
      <c r="L99" s="5"/>
      <c r="M99" s="41"/>
      <c r="N99" s="10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99" s="25" t="str">
        <f>IF(
   T_Channel[[#This Row],[ProviderName]]="",
   "",
   COUNTIF($N$12:$N$9982,T_Channel[[#This Row],[ProviderName]])
)</f>
        <v/>
      </c>
      <c r="P99" s="25" t="str">
        <f>IF(
   T_Channel[[#This Row],[Check]]&lt;&gt;"OK",
   "",
   IF(
      T_Channel[[#This Row],[Query]]="",
      "Empty",
      "Defined"
   )
)</f>
        <v/>
      </c>
      <c r="Q99" s="51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99" s="2" t="str">
        <f>IF(
   T_Channel[[#This Row],[Query]]="",
   "",
   LEFT(SUBSTITUTE(T_Channel[[#This Row],[Query]],"&lt;Select Path=""","",1),FIND("""",SUBSTITUTE(T_Channel[[#This Row],[Query]],"&lt;Select Path=""","",1))-1)
)</f>
        <v/>
      </c>
      <c r="S99" s="9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9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99" s="20" t="str">
        <f>IF(
   T_Channel[[#This Row],[Check]]&lt;&gt;"OK",
   "",
   T_Channel[[#This Row],[ChannelSymbol]] &amp; ".evtx"
)</f>
        <v/>
      </c>
      <c r="V99" s="20" t="str">
        <f>IF(
   T_Channel[[#This Row],[Check]]&lt;&gt;"OK",
   "",
   T_Channel[[#This Row],[LogFolder]] &amp; "\" &amp; T_Channel[[#This Row],[LogFile]]
)</f>
        <v/>
      </c>
      <c r="W99" s="20" t="str">
        <f>IF(
   T_Channel[[#This Row],[Safekeeping of logs]]="",
   "",
   VLOOKUP(T_Channel[[#This Row],[Safekeeping of logs]],T_List_LogMode[],2,FALSE)
)</f>
        <v/>
      </c>
      <c r="X99" s="2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00" spans="2:24" x14ac:dyDescent="0.45">
      <c r="B100" s="7"/>
      <c r="C100" s="5"/>
      <c r="D100" s="5"/>
      <c r="E100" s="5"/>
      <c r="F100" s="6"/>
      <c r="G100" s="6"/>
      <c r="H100" s="6"/>
      <c r="I100" s="6"/>
      <c r="J100" s="25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00" s="13"/>
      <c r="L100" s="5"/>
      <c r="M100" s="41"/>
      <c r="N100" s="10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00" s="25" t="str">
        <f>IF(
   T_Channel[[#This Row],[ProviderName]]="",
   "",
   COUNTIF($N$12:$N$9982,T_Channel[[#This Row],[ProviderName]])
)</f>
        <v/>
      </c>
      <c r="P100" s="25" t="str">
        <f>IF(
   T_Channel[[#This Row],[Check]]&lt;&gt;"OK",
   "",
   IF(
      T_Channel[[#This Row],[Query]]="",
      "Empty",
      "Defined"
   )
)</f>
        <v/>
      </c>
      <c r="Q100" s="51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00" s="2" t="str">
        <f>IF(
   T_Channel[[#This Row],[Query]]="",
   "",
   LEFT(SUBSTITUTE(T_Channel[[#This Row],[Query]],"&lt;Select Path=""","",1),FIND("""",SUBSTITUTE(T_Channel[[#This Row],[Query]],"&lt;Select Path=""","",1))-1)
)</f>
        <v/>
      </c>
      <c r="S100" s="9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0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00" s="20" t="str">
        <f>IF(
   T_Channel[[#This Row],[Check]]&lt;&gt;"OK",
   "",
   T_Channel[[#This Row],[ChannelSymbol]] &amp; ".evtx"
)</f>
        <v/>
      </c>
      <c r="V100" s="20" t="str">
        <f>IF(
   T_Channel[[#This Row],[Check]]&lt;&gt;"OK",
   "",
   T_Channel[[#This Row],[LogFolder]] &amp; "\" &amp; T_Channel[[#This Row],[LogFile]]
)</f>
        <v/>
      </c>
      <c r="W100" s="20" t="str">
        <f>IF(
   T_Channel[[#This Row],[Safekeeping of logs]]="",
   "",
   VLOOKUP(T_Channel[[#This Row],[Safekeeping of logs]],T_List_LogMode[],2,FALSE)
)</f>
        <v/>
      </c>
      <c r="X100" s="2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01" spans="2:24" x14ac:dyDescent="0.45">
      <c r="B101" s="7"/>
      <c r="C101" s="5"/>
      <c r="D101" s="5"/>
      <c r="E101" s="5"/>
      <c r="F101" s="6"/>
      <c r="G101" s="6"/>
      <c r="H101" s="6"/>
      <c r="I101" s="6"/>
      <c r="J101" s="25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01" s="13"/>
      <c r="L101" s="5"/>
      <c r="M101" s="41"/>
      <c r="N101" s="10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01" s="25" t="str">
        <f>IF(
   T_Channel[[#This Row],[ProviderName]]="",
   "",
   COUNTIF($N$12:$N$9982,T_Channel[[#This Row],[ProviderName]])
)</f>
        <v/>
      </c>
      <c r="P101" s="25" t="str">
        <f>IF(
   T_Channel[[#This Row],[Check]]&lt;&gt;"OK",
   "",
   IF(
      T_Channel[[#This Row],[Query]]="",
      "Empty",
      "Defined"
   )
)</f>
        <v/>
      </c>
      <c r="Q101" s="51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01" s="2" t="str">
        <f>IF(
   T_Channel[[#This Row],[Query]]="",
   "",
   LEFT(SUBSTITUTE(T_Channel[[#This Row],[Query]],"&lt;Select Path=""","",1),FIND("""",SUBSTITUTE(T_Channel[[#This Row],[Query]],"&lt;Select Path=""","",1))-1)
)</f>
        <v/>
      </c>
      <c r="S101" s="9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0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01" s="20" t="str">
        <f>IF(
   T_Channel[[#This Row],[Check]]&lt;&gt;"OK",
   "",
   T_Channel[[#This Row],[ChannelSymbol]] &amp; ".evtx"
)</f>
        <v/>
      </c>
      <c r="V101" s="20" t="str">
        <f>IF(
   T_Channel[[#This Row],[Check]]&lt;&gt;"OK",
   "",
   T_Channel[[#This Row],[LogFolder]] &amp; "\" &amp; T_Channel[[#This Row],[LogFile]]
)</f>
        <v/>
      </c>
      <c r="W101" s="20" t="str">
        <f>IF(
   T_Channel[[#This Row],[Safekeeping of logs]]="",
   "",
   VLOOKUP(T_Channel[[#This Row],[Safekeeping of logs]],T_List_LogMode[],2,FALSE)
)</f>
        <v/>
      </c>
      <c r="X101" s="2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02" spans="2:24" x14ac:dyDescent="0.45">
      <c r="B102" s="7"/>
      <c r="C102" s="5"/>
      <c r="D102" s="5"/>
      <c r="E102" s="5"/>
      <c r="F102" s="6"/>
      <c r="G102" s="6"/>
      <c r="H102" s="6"/>
      <c r="I102" s="6"/>
      <c r="J102" s="25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02" s="13"/>
      <c r="L102" s="5"/>
      <c r="M102" s="41"/>
      <c r="N102" s="10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02" s="25" t="str">
        <f>IF(
   T_Channel[[#This Row],[ProviderName]]="",
   "",
   COUNTIF($N$12:$N$9982,T_Channel[[#This Row],[ProviderName]])
)</f>
        <v/>
      </c>
      <c r="P102" s="25" t="str">
        <f>IF(
   T_Channel[[#This Row],[Check]]&lt;&gt;"OK",
   "",
   IF(
      T_Channel[[#This Row],[Query]]="",
      "Empty",
      "Defined"
   )
)</f>
        <v/>
      </c>
      <c r="Q102" s="51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02" s="2" t="str">
        <f>IF(
   T_Channel[[#This Row],[Query]]="",
   "",
   LEFT(SUBSTITUTE(T_Channel[[#This Row],[Query]],"&lt;Select Path=""","",1),FIND("""",SUBSTITUTE(T_Channel[[#This Row],[Query]],"&lt;Select Path=""","",1))-1)
)</f>
        <v/>
      </c>
      <c r="S102" s="9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0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02" s="20" t="str">
        <f>IF(
   T_Channel[[#This Row],[Check]]&lt;&gt;"OK",
   "",
   T_Channel[[#This Row],[ChannelSymbol]] &amp; ".evtx"
)</f>
        <v/>
      </c>
      <c r="V102" s="20" t="str">
        <f>IF(
   T_Channel[[#This Row],[Check]]&lt;&gt;"OK",
   "",
   T_Channel[[#This Row],[LogFolder]] &amp; "\" &amp; T_Channel[[#This Row],[LogFile]]
)</f>
        <v/>
      </c>
      <c r="W102" s="20" t="str">
        <f>IF(
   T_Channel[[#This Row],[Safekeeping of logs]]="",
   "",
   VLOOKUP(T_Channel[[#This Row],[Safekeeping of logs]],T_List_LogMode[],2,FALSE)
)</f>
        <v/>
      </c>
      <c r="X102" s="2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03" spans="2:24" x14ac:dyDescent="0.45">
      <c r="B103" s="7"/>
      <c r="C103" s="5"/>
      <c r="D103" s="5"/>
      <c r="E103" s="5"/>
      <c r="F103" s="6"/>
      <c r="G103" s="6"/>
      <c r="H103" s="6"/>
      <c r="I103" s="6"/>
      <c r="J103" s="25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03" s="13"/>
      <c r="L103" s="5"/>
      <c r="M103" s="41"/>
      <c r="N103" s="10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03" s="25" t="str">
        <f>IF(
   T_Channel[[#This Row],[ProviderName]]="",
   "",
   COUNTIF($N$12:$N$9982,T_Channel[[#This Row],[ProviderName]])
)</f>
        <v/>
      </c>
      <c r="P103" s="25" t="str">
        <f>IF(
   T_Channel[[#This Row],[Check]]&lt;&gt;"OK",
   "",
   IF(
      T_Channel[[#This Row],[Query]]="",
      "Empty",
      "Defined"
   )
)</f>
        <v/>
      </c>
      <c r="Q103" s="51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03" s="2" t="str">
        <f>IF(
   T_Channel[[#This Row],[Query]]="",
   "",
   LEFT(SUBSTITUTE(T_Channel[[#This Row],[Query]],"&lt;Select Path=""","",1),FIND("""",SUBSTITUTE(T_Channel[[#This Row],[Query]],"&lt;Select Path=""","",1))-1)
)</f>
        <v/>
      </c>
      <c r="S103" s="9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0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03" s="20" t="str">
        <f>IF(
   T_Channel[[#This Row],[Check]]&lt;&gt;"OK",
   "",
   T_Channel[[#This Row],[ChannelSymbol]] &amp; ".evtx"
)</f>
        <v/>
      </c>
      <c r="V103" s="20" t="str">
        <f>IF(
   T_Channel[[#This Row],[Check]]&lt;&gt;"OK",
   "",
   T_Channel[[#This Row],[LogFolder]] &amp; "\" &amp; T_Channel[[#This Row],[LogFile]]
)</f>
        <v/>
      </c>
      <c r="W103" s="20" t="str">
        <f>IF(
   T_Channel[[#This Row],[Safekeeping of logs]]="",
   "",
   VLOOKUP(T_Channel[[#This Row],[Safekeeping of logs]],T_List_LogMode[],2,FALSE)
)</f>
        <v/>
      </c>
      <c r="X103" s="2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04" spans="2:24" x14ac:dyDescent="0.45">
      <c r="B104" s="7"/>
      <c r="C104" s="5"/>
      <c r="D104" s="5"/>
      <c r="E104" s="5"/>
      <c r="F104" s="6"/>
      <c r="G104" s="6"/>
      <c r="H104" s="6"/>
      <c r="I104" s="6"/>
      <c r="J104" s="25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04" s="13"/>
      <c r="L104" s="5"/>
      <c r="M104" s="41"/>
      <c r="N104" s="10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04" s="25" t="str">
        <f>IF(
   T_Channel[[#This Row],[ProviderName]]="",
   "",
   COUNTIF($N$12:$N$9982,T_Channel[[#This Row],[ProviderName]])
)</f>
        <v/>
      </c>
      <c r="P104" s="25" t="str">
        <f>IF(
   T_Channel[[#This Row],[Check]]&lt;&gt;"OK",
   "",
   IF(
      T_Channel[[#This Row],[Query]]="",
      "Empty",
      "Defined"
   )
)</f>
        <v/>
      </c>
      <c r="Q104" s="51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04" s="2" t="str">
        <f>IF(
   T_Channel[[#This Row],[Query]]="",
   "",
   LEFT(SUBSTITUTE(T_Channel[[#This Row],[Query]],"&lt;Select Path=""","",1),FIND("""",SUBSTITUTE(T_Channel[[#This Row],[Query]],"&lt;Select Path=""","",1))-1)
)</f>
        <v/>
      </c>
      <c r="S104" s="9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0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04" s="20" t="str">
        <f>IF(
   T_Channel[[#This Row],[Check]]&lt;&gt;"OK",
   "",
   T_Channel[[#This Row],[ChannelSymbol]] &amp; ".evtx"
)</f>
        <v/>
      </c>
      <c r="V104" s="20" t="str">
        <f>IF(
   T_Channel[[#This Row],[Check]]&lt;&gt;"OK",
   "",
   T_Channel[[#This Row],[LogFolder]] &amp; "\" &amp; T_Channel[[#This Row],[LogFile]]
)</f>
        <v/>
      </c>
      <c r="W104" s="20" t="str">
        <f>IF(
   T_Channel[[#This Row],[Safekeeping of logs]]="",
   "",
   VLOOKUP(T_Channel[[#This Row],[Safekeeping of logs]],T_List_LogMode[],2,FALSE)
)</f>
        <v/>
      </c>
      <c r="X104" s="2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05" spans="2:24" x14ac:dyDescent="0.45">
      <c r="B105" s="7"/>
      <c r="C105" s="5"/>
      <c r="D105" s="5"/>
      <c r="E105" s="5"/>
      <c r="F105" s="6"/>
      <c r="G105" s="6"/>
      <c r="H105" s="6"/>
      <c r="I105" s="6"/>
      <c r="J105" s="25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05" s="13"/>
      <c r="L105" s="5"/>
      <c r="M105" s="41"/>
      <c r="N105" s="10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05" s="25" t="str">
        <f>IF(
   T_Channel[[#This Row],[ProviderName]]="",
   "",
   COUNTIF($N$12:$N$9982,T_Channel[[#This Row],[ProviderName]])
)</f>
        <v/>
      </c>
      <c r="P105" s="25" t="str">
        <f>IF(
   T_Channel[[#This Row],[Check]]&lt;&gt;"OK",
   "",
   IF(
      T_Channel[[#This Row],[Query]]="",
      "Empty",
      "Defined"
   )
)</f>
        <v/>
      </c>
      <c r="Q105" s="51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05" s="2" t="str">
        <f>IF(
   T_Channel[[#This Row],[Query]]="",
   "",
   LEFT(SUBSTITUTE(T_Channel[[#This Row],[Query]],"&lt;Select Path=""","",1),FIND("""",SUBSTITUTE(T_Channel[[#This Row],[Query]],"&lt;Select Path=""","",1))-1)
)</f>
        <v/>
      </c>
      <c r="S105" s="9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0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05" s="20" t="str">
        <f>IF(
   T_Channel[[#This Row],[Check]]&lt;&gt;"OK",
   "",
   T_Channel[[#This Row],[ChannelSymbol]] &amp; ".evtx"
)</f>
        <v/>
      </c>
      <c r="V105" s="20" t="str">
        <f>IF(
   T_Channel[[#This Row],[Check]]&lt;&gt;"OK",
   "",
   T_Channel[[#This Row],[LogFolder]] &amp; "\" &amp; T_Channel[[#This Row],[LogFile]]
)</f>
        <v/>
      </c>
      <c r="W105" s="20" t="str">
        <f>IF(
   T_Channel[[#This Row],[Safekeeping of logs]]="",
   "",
   VLOOKUP(T_Channel[[#This Row],[Safekeeping of logs]],T_List_LogMode[],2,FALSE)
)</f>
        <v/>
      </c>
      <c r="X105" s="2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06" spans="2:24" x14ac:dyDescent="0.45">
      <c r="B106" s="7"/>
      <c r="C106" s="5"/>
      <c r="D106" s="5"/>
      <c r="E106" s="5"/>
      <c r="F106" s="6"/>
      <c r="G106" s="6"/>
      <c r="H106" s="6"/>
      <c r="I106" s="6"/>
      <c r="J106" s="25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06" s="13"/>
      <c r="L106" s="5"/>
      <c r="M106" s="41"/>
      <c r="N106" s="10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06" s="25" t="str">
        <f>IF(
   T_Channel[[#This Row],[ProviderName]]="",
   "",
   COUNTIF($N$12:$N$9982,T_Channel[[#This Row],[ProviderName]])
)</f>
        <v/>
      </c>
      <c r="P106" s="25" t="str">
        <f>IF(
   T_Channel[[#This Row],[Check]]&lt;&gt;"OK",
   "",
   IF(
      T_Channel[[#This Row],[Query]]="",
      "Empty",
      "Defined"
   )
)</f>
        <v/>
      </c>
      <c r="Q106" s="51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06" s="2" t="str">
        <f>IF(
   T_Channel[[#This Row],[Query]]="",
   "",
   LEFT(SUBSTITUTE(T_Channel[[#This Row],[Query]],"&lt;Select Path=""","",1),FIND("""",SUBSTITUTE(T_Channel[[#This Row],[Query]],"&lt;Select Path=""","",1))-1)
)</f>
        <v/>
      </c>
      <c r="S106" s="9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0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06" s="20" t="str">
        <f>IF(
   T_Channel[[#This Row],[Check]]&lt;&gt;"OK",
   "",
   T_Channel[[#This Row],[ChannelSymbol]] &amp; ".evtx"
)</f>
        <v/>
      </c>
      <c r="V106" s="20" t="str">
        <f>IF(
   T_Channel[[#This Row],[Check]]&lt;&gt;"OK",
   "",
   T_Channel[[#This Row],[LogFolder]] &amp; "\" &amp; T_Channel[[#This Row],[LogFile]]
)</f>
        <v/>
      </c>
      <c r="W106" s="20" t="str">
        <f>IF(
   T_Channel[[#This Row],[Safekeeping of logs]]="",
   "",
   VLOOKUP(T_Channel[[#This Row],[Safekeeping of logs]],T_List_LogMode[],2,FALSE)
)</f>
        <v/>
      </c>
      <c r="X106" s="2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07" spans="2:24" x14ac:dyDescent="0.45">
      <c r="B107" s="7"/>
      <c r="C107" s="5"/>
      <c r="D107" s="5"/>
      <c r="E107" s="5"/>
      <c r="F107" s="6"/>
      <c r="G107" s="6"/>
      <c r="H107" s="6"/>
      <c r="I107" s="6"/>
      <c r="J107" s="25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07" s="13"/>
      <c r="L107" s="5"/>
      <c r="M107" s="41"/>
      <c r="N107" s="10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07" s="25" t="str">
        <f>IF(
   T_Channel[[#This Row],[ProviderName]]="",
   "",
   COUNTIF($N$12:$N$9982,T_Channel[[#This Row],[ProviderName]])
)</f>
        <v/>
      </c>
      <c r="P107" s="25" t="str">
        <f>IF(
   T_Channel[[#This Row],[Check]]&lt;&gt;"OK",
   "",
   IF(
      T_Channel[[#This Row],[Query]]="",
      "Empty",
      "Defined"
   )
)</f>
        <v/>
      </c>
      <c r="Q107" s="51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07" s="2" t="str">
        <f>IF(
   T_Channel[[#This Row],[Query]]="",
   "",
   LEFT(SUBSTITUTE(T_Channel[[#This Row],[Query]],"&lt;Select Path=""","",1),FIND("""",SUBSTITUTE(T_Channel[[#This Row],[Query]],"&lt;Select Path=""","",1))-1)
)</f>
        <v/>
      </c>
      <c r="S107" s="9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0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07" s="20" t="str">
        <f>IF(
   T_Channel[[#This Row],[Check]]&lt;&gt;"OK",
   "",
   T_Channel[[#This Row],[ChannelSymbol]] &amp; ".evtx"
)</f>
        <v/>
      </c>
      <c r="V107" s="20" t="str">
        <f>IF(
   T_Channel[[#This Row],[Check]]&lt;&gt;"OK",
   "",
   T_Channel[[#This Row],[LogFolder]] &amp; "\" &amp; T_Channel[[#This Row],[LogFile]]
)</f>
        <v/>
      </c>
      <c r="W107" s="20" t="str">
        <f>IF(
   T_Channel[[#This Row],[Safekeeping of logs]]="",
   "",
   VLOOKUP(T_Channel[[#This Row],[Safekeeping of logs]],T_List_LogMode[],2,FALSE)
)</f>
        <v/>
      </c>
      <c r="X107" s="2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08" spans="2:24" x14ac:dyDescent="0.45">
      <c r="B108" s="7"/>
      <c r="C108" s="5"/>
      <c r="D108" s="5"/>
      <c r="E108" s="5"/>
      <c r="F108" s="6"/>
      <c r="G108" s="6"/>
      <c r="H108" s="6"/>
      <c r="I108" s="6"/>
      <c r="J108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08" s="13"/>
      <c r="L108" s="5"/>
      <c r="M108" s="41"/>
      <c r="N108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08" s="26" t="str">
        <f>IF(
   T_Channel[[#This Row],[ProviderName]]="",
   "",
   COUNTIF($N$12:$N$9982,T_Channel[[#This Row],[ProviderName]])
)</f>
        <v/>
      </c>
      <c r="P108" s="26" t="str">
        <f>IF(
   T_Channel[[#This Row],[Check]]&lt;&gt;"OK",
   "",
   IF(
      T_Channel[[#This Row],[Query]]="",
      "Empty",
      "Defined"
   )
)</f>
        <v/>
      </c>
      <c r="Q108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08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08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0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08" s="20" t="str">
        <f>IF(
   T_Channel[[#This Row],[Check]]&lt;&gt;"OK",
   "",
   T_Channel[[#This Row],[ChannelSymbol]] &amp; ".evtx"
)</f>
        <v/>
      </c>
      <c r="V108" s="20" t="str">
        <f>IF(
   T_Channel[[#This Row],[Check]]&lt;&gt;"OK",
   "",
   T_Channel[[#This Row],[LogFolder]] &amp; "\" &amp; T_Channel[[#This Row],[LogFile]]
)</f>
        <v/>
      </c>
      <c r="W108" s="20" t="str">
        <f>IF(
   T_Channel[[#This Row],[Safekeeping of logs]]="",
   "",
   VLOOKUP(T_Channel[[#This Row],[Safekeeping of logs]],T_List_LogMode[],2,FALSE)
)</f>
        <v/>
      </c>
      <c r="X108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09" spans="2:24" x14ac:dyDescent="0.45">
      <c r="B109" s="7"/>
      <c r="C109" s="5"/>
      <c r="D109" s="5"/>
      <c r="E109" s="5"/>
      <c r="F109" s="6"/>
      <c r="G109" s="6"/>
      <c r="H109" s="6"/>
      <c r="I109" s="6"/>
      <c r="J109" s="25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09" s="13"/>
      <c r="L109" s="5"/>
      <c r="M109" s="41"/>
      <c r="N109" s="10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09" s="25" t="str">
        <f>IF(
   T_Channel[[#This Row],[ProviderName]]="",
   "",
   COUNTIF($N$12:$N$9982,T_Channel[[#This Row],[ProviderName]])
)</f>
        <v/>
      </c>
      <c r="P109" s="25" t="str">
        <f>IF(
   T_Channel[[#This Row],[Check]]&lt;&gt;"OK",
   "",
   IF(
      T_Channel[[#This Row],[Query]]="",
      "Empty",
      "Defined"
   )
)</f>
        <v/>
      </c>
      <c r="Q109" s="51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09" s="2" t="str">
        <f>IF(
   T_Channel[[#This Row],[Query]]="",
   "",
   LEFT(SUBSTITUTE(T_Channel[[#This Row],[Query]],"&lt;Select Path=""","",1),FIND("""",SUBSTITUTE(T_Channel[[#This Row],[Query]],"&lt;Select Path=""","",1))-1)
)</f>
        <v/>
      </c>
      <c r="S109" s="9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0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09" s="20" t="str">
        <f>IF(
   T_Channel[[#This Row],[Check]]&lt;&gt;"OK",
   "",
   T_Channel[[#This Row],[ChannelSymbol]] &amp; ".evtx"
)</f>
        <v/>
      </c>
      <c r="V109" s="20" t="str">
        <f>IF(
   T_Channel[[#This Row],[Check]]&lt;&gt;"OK",
   "",
   T_Channel[[#This Row],[LogFolder]] &amp; "\" &amp; T_Channel[[#This Row],[LogFile]]
)</f>
        <v/>
      </c>
      <c r="W109" s="20" t="str">
        <f>IF(
   T_Channel[[#This Row],[Safekeeping of logs]]="",
   "",
   VLOOKUP(T_Channel[[#This Row],[Safekeeping of logs]],T_List_LogMode[],2,FALSE)
)</f>
        <v/>
      </c>
      <c r="X109" s="2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10" spans="2:24" x14ac:dyDescent="0.45">
      <c r="B110" s="7"/>
      <c r="C110" s="5"/>
      <c r="D110" s="5"/>
      <c r="E110" s="5"/>
      <c r="F110" s="6"/>
      <c r="G110" s="6"/>
      <c r="H110" s="6"/>
      <c r="I110" s="6"/>
      <c r="J110" s="25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10" s="13"/>
      <c r="L110" s="5"/>
      <c r="M110" s="41"/>
      <c r="N110" s="10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10" s="25" t="str">
        <f>IF(
   T_Channel[[#This Row],[ProviderName]]="",
   "",
   COUNTIF($N$12:$N$9982,T_Channel[[#This Row],[ProviderName]])
)</f>
        <v/>
      </c>
      <c r="P110" s="25" t="str">
        <f>IF(
   T_Channel[[#This Row],[Check]]&lt;&gt;"OK",
   "",
   IF(
      T_Channel[[#This Row],[Query]]="",
      "Empty",
      "Defined"
   )
)</f>
        <v/>
      </c>
      <c r="Q110" s="51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10" s="2" t="str">
        <f>IF(
   T_Channel[[#This Row],[Query]]="",
   "",
   LEFT(SUBSTITUTE(T_Channel[[#This Row],[Query]],"&lt;Select Path=""","",1),FIND("""",SUBSTITUTE(T_Channel[[#This Row],[Query]],"&lt;Select Path=""","",1))-1)
)</f>
        <v/>
      </c>
      <c r="S110" s="9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1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10" s="20" t="str">
        <f>IF(
   T_Channel[[#This Row],[Check]]&lt;&gt;"OK",
   "",
   T_Channel[[#This Row],[ChannelSymbol]] &amp; ".evtx"
)</f>
        <v/>
      </c>
      <c r="V110" s="20" t="str">
        <f>IF(
   T_Channel[[#This Row],[Check]]&lt;&gt;"OK",
   "",
   T_Channel[[#This Row],[LogFolder]] &amp; "\" &amp; T_Channel[[#This Row],[LogFile]]
)</f>
        <v/>
      </c>
      <c r="W110" s="20" t="str">
        <f>IF(
   T_Channel[[#This Row],[Safekeeping of logs]]="",
   "",
   VLOOKUP(T_Channel[[#This Row],[Safekeeping of logs]],T_List_LogMode[],2,FALSE)
)</f>
        <v/>
      </c>
      <c r="X110" s="2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11" spans="2:24" x14ac:dyDescent="0.45">
      <c r="B111" s="7"/>
      <c r="C111" s="5"/>
      <c r="D111" s="5"/>
      <c r="E111" s="5"/>
      <c r="F111" s="6"/>
      <c r="G111" s="6"/>
      <c r="H111" s="6"/>
      <c r="I111" s="6"/>
      <c r="J111" s="25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11" s="13"/>
      <c r="L111" s="5"/>
      <c r="M111" s="41"/>
      <c r="N111" s="10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11" s="25" t="str">
        <f>IF(
   T_Channel[[#This Row],[ProviderName]]="",
   "",
   COUNTIF($N$12:$N$9982,T_Channel[[#This Row],[ProviderName]])
)</f>
        <v/>
      </c>
      <c r="P111" s="25" t="str">
        <f>IF(
   T_Channel[[#This Row],[Check]]&lt;&gt;"OK",
   "",
   IF(
      T_Channel[[#This Row],[Query]]="",
      "Empty",
      "Defined"
   )
)</f>
        <v/>
      </c>
      <c r="Q111" s="51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11" s="2" t="str">
        <f>IF(
   T_Channel[[#This Row],[Query]]="",
   "",
   LEFT(SUBSTITUTE(T_Channel[[#This Row],[Query]],"&lt;Select Path=""","",1),FIND("""",SUBSTITUTE(T_Channel[[#This Row],[Query]],"&lt;Select Path=""","",1))-1)
)</f>
        <v/>
      </c>
      <c r="S111" s="9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1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11" s="20" t="str">
        <f>IF(
   T_Channel[[#This Row],[Check]]&lt;&gt;"OK",
   "",
   T_Channel[[#This Row],[ChannelSymbol]] &amp; ".evtx"
)</f>
        <v/>
      </c>
      <c r="V111" s="20" t="str">
        <f>IF(
   T_Channel[[#This Row],[Check]]&lt;&gt;"OK",
   "",
   T_Channel[[#This Row],[LogFolder]] &amp; "\" &amp; T_Channel[[#This Row],[LogFile]]
)</f>
        <v/>
      </c>
      <c r="W111" s="20" t="str">
        <f>IF(
   T_Channel[[#This Row],[Safekeeping of logs]]="",
   "",
   VLOOKUP(T_Channel[[#This Row],[Safekeeping of logs]],T_List_LogMode[],2,FALSE)
)</f>
        <v/>
      </c>
      <c r="X111" s="2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12" spans="2:24" x14ac:dyDescent="0.45">
      <c r="B112" s="7"/>
      <c r="C112" s="5"/>
      <c r="D112" s="5"/>
      <c r="E112" s="5"/>
      <c r="F112" s="6"/>
      <c r="G112" s="6"/>
      <c r="H112" s="6"/>
      <c r="I112" s="6"/>
      <c r="J112" s="25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12" s="13"/>
      <c r="L112" s="5"/>
      <c r="M112" s="41"/>
      <c r="N112" s="10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12" s="25" t="str">
        <f>IF(
   T_Channel[[#This Row],[ProviderName]]="",
   "",
   COUNTIF($N$12:$N$9982,T_Channel[[#This Row],[ProviderName]])
)</f>
        <v/>
      </c>
      <c r="P112" s="25" t="str">
        <f>IF(
   T_Channel[[#This Row],[Check]]&lt;&gt;"OK",
   "",
   IF(
      T_Channel[[#This Row],[Query]]="",
      "Empty",
      "Defined"
   )
)</f>
        <v/>
      </c>
      <c r="Q112" s="51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12" s="2" t="str">
        <f>IF(
   T_Channel[[#This Row],[Query]]="",
   "",
   LEFT(SUBSTITUTE(T_Channel[[#This Row],[Query]],"&lt;Select Path=""","",1),FIND("""",SUBSTITUTE(T_Channel[[#This Row],[Query]],"&lt;Select Path=""","",1))-1)
)</f>
        <v/>
      </c>
      <c r="S112" s="9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1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12" s="20" t="str">
        <f>IF(
   T_Channel[[#This Row],[Check]]&lt;&gt;"OK",
   "",
   T_Channel[[#This Row],[ChannelSymbol]] &amp; ".evtx"
)</f>
        <v/>
      </c>
      <c r="V112" s="20" t="str">
        <f>IF(
   T_Channel[[#This Row],[Check]]&lt;&gt;"OK",
   "",
   T_Channel[[#This Row],[LogFolder]] &amp; "\" &amp; T_Channel[[#This Row],[LogFile]]
)</f>
        <v/>
      </c>
      <c r="W112" s="20" t="str">
        <f>IF(
   T_Channel[[#This Row],[Safekeeping of logs]]="",
   "",
   VLOOKUP(T_Channel[[#This Row],[Safekeeping of logs]],T_List_LogMode[],2,FALSE)
)</f>
        <v/>
      </c>
      <c r="X112" s="2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13" spans="2:24" x14ac:dyDescent="0.45">
      <c r="B113" s="7"/>
      <c r="C113" s="5"/>
      <c r="D113" s="5"/>
      <c r="E113" s="5"/>
      <c r="F113" s="6"/>
      <c r="G113" s="6"/>
      <c r="H113" s="6"/>
      <c r="I113" s="6"/>
      <c r="J113" s="25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13" s="13"/>
      <c r="L113" s="5"/>
      <c r="M113" s="41"/>
      <c r="N113" s="10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13" s="25" t="str">
        <f>IF(
   T_Channel[[#This Row],[ProviderName]]="",
   "",
   COUNTIF($N$12:$N$9982,T_Channel[[#This Row],[ProviderName]])
)</f>
        <v/>
      </c>
      <c r="P113" s="25" t="str">
        <f>IF(
   T_Channel[[#This Row],[Check]]&lt;&gt;"OK",
   "",
   IF(
      T_Channel[[#This Row],[Query]]="",
      "Empty",
      "Defined"
   )
)</f>
        <v/>
      </c>
      <c r="Q113" s="51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13" s="2" t="str">
        <f>IF(
   T_Channel[[#This Row],[Query]]="",
   "",
   LEFT(SUBSTITUTE(T_Channel[[#This Row],[Query]],"&lt;Select Path=""","",1),FIND("""",SUBSTITUTE(T_Channel[[#This Row],[Query]],"&lt;Select Path=""","",1))-1)
)</f>
        <v/>
      </c>
      <c r="S113" s="9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1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13" s="20" t="str">
        <f>IF(
   T_Channel[[#This Row],[Check]]&lt;&gt;"OK",
   "",
   T_Channel[[#This Row],[ChannelSymbol]] &amp; ".evtx"
)</f>
        <v/>
      </c>
      <c r="V113" s="20" t="str">
        <f>IF(
   T_Channel[[#This Row],[Check]]&lt;&gt;"OK",
   "",
   T_Channel[[#This Row],[LogFolder]] &amp; "\" &amp; T_Channel[[#This Row],[LogFile]]
)</f>
        <v/>
      </c>
      <c r="W113" s="20" t="str">
        <f>IF(
   T_Channel[[#This Row],[Safekeeping of logs]]="",
   "",
   VLOOKUP(T_Channel[[#This Row],[Safekeeping of logs]],T_List_LogMode[],2,FALSE)
)</f>
        <v/>
      </c>
      <c r="X113" s="2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14" spans="2:24" x14ac:dyDescent="0.45">
      <c r="B114" s="7"/>
      <c r="C114" s="5"/>
      <c r="D114" s="5"/>
      <c r="E114" s="5"/>
      <c r="F114" s="6"/>
      <c r="G114" s="6"/>
      <c r="H114" s="6"/>
      <c r="I114" s="6"/>
      <c r="J114" s="25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14" s="13"/>
      <c r="L114" s="5"/>
      <c r="M114" s="41"/>
      <c r="N114" s="10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14" s="25" t="str">
        <f>IF(
   T_Channel[[#This Row],[ProviderName]]="",
   "",
   COUNTIF($N$12:$N$9982,T_Channel[[#This Row],[ProviderName]])
)</f>
        <v/>
      </c>
      <c r="P114" s="25" t="str">
        <f>IF(
   T_Channel[[#This Row],[Check]]&lt;&gt;"OK",
   "",
   IF(
      T_Channel[[#This Row],[Query]]="",
      "Empty",
      "Defined"
   )
)</f>
        <v/>
      </c>
      <c r="Q114" s="51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14" s="2" t="str">
        <f>IF(
   T_Channel[[#This Row],[Query]]="",
   "",
   LEFT(SUBSTITUTE(T_Channel[[#This Row],[Query]],"&lt;Select Path=""","",1),FIND("""",SUBSTITUTE(T_Channel[[#This Row],[Query]],"&lt;Select Path=""","",1))-1)
)</f>
        <v/>
      </c>
      <c r="S114" s="9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1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14" s="20" t="str">
        <f>IF(
   T_Channel[[#This Row],[Check]]&lt;&gt;"OK",
   "",
   T_Channel[[#This Row],[ChannelSymbol]] &amp; ".evtx"
)</f>
        <v/>
      </c>
      <c r="V114" s="20" t="str">
        <f>IF(
   T_Channel[[#This Row],[Check]]&lt;&gt;"OK",
   "",
   T_Channel[[#This Row],[LogFolder]] &amp; "\" &amp; T_Channel[[#This Row],[LogFile]]
)</f>
        <v/>
      </c>
      <c r="W114" s="20" t="str">
        <f>IF(
   T_Channel[[#This Row],[Safekeeping of logs]]="",
   "",
   VLOOKUP(T_Channel[[#This Row],[Safekeeping of logs]],T_List_LogMode[],2,FALSE)
)</f>
        <v/>
      </c>
      <c r="X114" s="2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15" spans="2:24" x14ac:dyDescent="0.45">
      <c r="B115" s="7"/>
      <c r="C115" s="5"/>
      <c r="D115" s="5"/>
      <c r="E115" s="5"/>
      <c r="F115" s="6"/>
      <c r="G115" s="6"/>
      <c r="H115" s="6"/>
      <c r="I115" s="6"/>
      <c r="J115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15" s="13"/>
      <c r="L115" s="5"/>
      <c r="M115" s="41"/>
      <c r="N115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15" s="26" t="str">
        <f>IF(
   T_Channel[[#This Row],[ProviderName]]="",
   "",
   COUNTIF($N$12:$N$9982,T_Channel[[#This Row],[ProviderName]])
)</f>
        <v/>
      </c>
      <c r="P115" s="26" t="str">
        <f>IF(
   T_Channel[[#This Row],[Check]]&lt;&gt;"OK",
   "",
   IF(
      T_Channel[[#This Row],[Query]]="",
      "Empty",
      "Defined"
   )
)</f>
        <v/>
      </c>
      <c r="Q115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15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15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1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15" s="20" t="str">
        <f>IF(
   T_Channel[[#This Row],[Check]]&lt;&gt;"OK",
   "",
   T_Channel[[#This Row],[ChannelSymbol]] &amp; ".evtx"
)</f>
        <v/>
      </c>
      <c r="V115" s="20" t="str">
        <f>IF(
   T_Channel[[#This Row],[Check]]&lt;&gt;"OK",
   "",
   T_Channel[[#This Row],[LogFolder]] &amp; "\" &amp; T_Channel[[#This Row],[LogFile]]
)</f>
        <v/>
      </c>
      <c r="W115" s="20" t="str">
        <f>IF(
   T_Channel[[#This Row],[Safekeeping of logs]]="",
   "",
   VLOOKUP(T_Channel[[#This Row],[Safekeeping of logs]],T_List_LogMode[],2,FALSE)
)</f>
        <v/>
      </c>
      <c r="X115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16" spans="2:24" x14ac:dyDescent="0.45">
      <c r="B116" s="7"/>
      <c r="C116" s="5"/>
      <c r="D116" s="5"/>
      <c r="E116" s="5"/>
      <c r="F116" s="6"/>
      <c r="G116" s="6"/>
      <c r="H116" s="6"/>
      <c r="I116" s="6"/>
      <c r="J116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16" s="13"/>
      <c r="L116" s="5"/>
      <c r="M116" s="41"/>
      <c r="N116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16" s="26" t="str">
        <f>IF(
   T_Channel[[#This Row],[ProviderName]]="",
   "",
   COUNTIF($N$12:$N$9982,T_Channel[[#This Row],[ProviderName]])
)</f>
        <v/>
      </c>
      <c r="P116" s="26" t="str">
        <f>IF(
   T_Channel[[#This Row],[Check]]&lt;&gt;"OK",
   "",
   IF(
      T_Channel[[#This Row],[Query]]="",
      "Empty",
      "Defined"
   )
)</f>
        <v/>
      </c>
      <c r="Q116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16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16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1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16" s="20" t="str">
        <f>IF(
   T_Channel[[#This Row],[Check]]&lt;&gt;"OK",
   "",
   T_Channel[[#This Row],[ChannelSymbol]] &amp; ".evtx"
)</f>
        <v/>
      </c>
      <c r="V116" s="20" t="str">
        <f>IF(
   T_Channel[[#This Row],[Check]]&lt;&gt;"OK",
   "",
   T_Channel[[#This Row],[LogFolder]] &amp; "\" &amp; T_Channel[[#This Row],[LogFile]]
)</f>
        <v/>
      </c>
      <c r="W116" s="20" t="str">
        <f>IF(
   T_Channel[[#This Row],[Safekeeping of logs]]="",
   "",
   VLOOKUP(T_Channel[[#This Row],[Safekeeping of logs]],T_List_LogMode[],2,FALSE)
)</f>
        <v/>
      </c>
      <c r="X116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17" spans="2:24" x14ac:dyDescent="0.45">
      <c r="B117" s="7"/>
      <c r="C117" s="5"/>
      <c r="D117" s="5"/>
      <c r="E117" s="5"/>
      <c r="F117" s="6"/>
      <c r="G117" s="6"/>
      <c r="H117" s="6"/>
      <c r="I117" s="6"/>
      <c r="J117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17" s="13"/>
      <c r="L117" s="5"/>
      <c r="M117" s="41"/>
      <c r="N117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17" s="26" t="str">
        <f>IF(
   T_Channel[[#This Row],[ProviderName]]="",
   "",
   COUNTIF($N$12:$N$9982,T_Channel[[#This Row],[ProviderName]])
)</f>
        <v/>
      </c>
      <c r="P117" s="26" t="str">
        <f>IF(
   T_Channel[[#This Row],[Check]]&lt;&gt;"OK",
   "",
   IF(
      T_Channel[[#This Row],[Query]]="",
      "Empty",
      "Defined"
   )
)</f>
        <v/>
      </c>
      <c r="Q117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17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17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1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17" s="20" t="str">
        <f>IF(
   T_Channel[[#This Row],[Check]]&lt;&gt;"OK",
   "",
   T_Channel[[#This Row],[ChannelSymbol]] &amp; ".evtx"
)</f>
        <v/>
      </c>
      <c r="V117" s="20" t="str">
        <f>IF(
   T_Channel[[#This Row],[Check]]&lt;&gt;"OK",
   "",
   T_Channel[[#This Row],[LogFolder]] &amp; "\" &amp; T_Channel[[#This Row],[LogFile]]
)</f>
        <v/>
      </c>
      <c r="W117" s="20" t="str">
        <f>IF(
   T_Channel[[#This Row],[Safekeeping of logs]]="",
   "",
   VLOOKUP(T_Channel[[#This Row],[Safekeeping of logs]],T_List_LogMode[],2,FALSE)
)</f>
        <v/>
      </c>
      <c r="X117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18" spans="2:24" x14ac:dyDescent="0.45">
      <c r="B118" s="7"/>
      <c r="C118" s="5"/>
      <c r="D118" s="5"/>
      <c r="E118" s="5"/>
      <c r="F118" s="6"/>
      <c r="G118" s="6"/>
      <c r="H118" s="6"/>
      <c r="I118" s="6"/>
      <c r="J118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18" s="13"/>
      <c r="L118" s="5"/>
      <c r="M118" s="41"/>
      <c r="N118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18" s="26" t="str">
        <f>IF(
   T_Channel[[#This Row],[ProviderName]]="",
   "",
   COUNTIF($N$12:$N$9982,T_Channel[[#This Row],[ProviderName]])
)</f>
        <v/>
      </c>
      <c r="P118" s="26" t="str">
        <f>IF(
   T_Channel[[#This Row],[Check]]&lt;&gt;"OK",
   "",
   IF(
      T_Channel[[#This Row],[Query]]="",
      "Empty",
      "Defined"
   )
)</f>
        <v/>
      </c>
      <c r="Q118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18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18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1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18" s="20" t="str">
        <f>IF(
   T_Channel[[#This Row],[Check]]&lt;&gt;"OK",
   "",
   T_Channel[[#This Row],[ChannelSymbol]] &amp; ".evtx"
)</f>
        <v/>
      </c>
      <c r="V118" s="20" t="str">
        <f>IF(
   T_Channel[[#This Row],[Check]]&lt;&gt;"OK",
   "",
   T_Channel[[#This Row],[LogFolder]] &amp; "\" &amp; T_Channel[[#This Row],[LogFile]]
)</f>
        <v/>
      </c>
      <c r="W118" s="20" t="str">
        <f>IF(
   T_Channel[[#This Row],[Safekeeping of logs]]="",
   "",
   VLOOKUP(T_Channel[[#This Row],[Safekeeping of logs]],T_List_LogMode[],2,FALSE)
)</f>
        <v/>
      </c>
      <c r="X118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19" spans="2:24" x14ac:dyDescent="0.45">
      <c r="B119" s="7"/>
      <c r="C119" s="5"/>
      <c r="D119" s="5"/>
      <c r="E119" s="5"/>
      <c r="F119" s="6"/>
      <c r="G119" s="6"/>
      <c r="H119" s="6"/>
      <c r="I119" s="6"/>
      <c r="J119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19" s="13"/>
      <c r="L119" s="5"/>
      <c r="M119" s="41"/>
      <c r="N119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19" s="26" t="str">
        <f>IF(
   T_Channel[[#This Row],[ProviderName]]="",
   "",
   COUNTIF($N$12:$N$9982,T_Channel[[#This Row],[ProviderName]])
)</f>
        <v/>
      </c>
      <c r="P119" s="26" t="str">
        <f>IF(
   T_Channel[[#This Row],[Check]]&lt;&gt;"OK",
   "",
   IF(
      T_Channel[[#This Row],[Query]]="",
      "Empty",
      "Defined"
   )
)</f>
        <v/>
      </c>
      <c r="Q119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19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19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1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19" s="20" t="str">
        <f>IF(
   T_Channel[[#This Row],[Check]]&lt;&gt;"OK",
   "",
   T_Channel[[#This Row],[ChannelSymbol]] &amp; ".evtx"
)</f>
        <v/>
      </c>
      <c r="V119" s="20" t="str">
        <f>IF(
   T_Channel[[#This Row],[Check]]&lt;&gt;"OK",
   "",
   T_Channel[[#This Row],[LogFolder]] &amp; "\" &amp; T_Channel[[#This Row],[LogFile]]
)</f>
        <v/>
      </c>
      <c r="W119" s="20" t="str">
        <f>IF(
   T_Channel[[#This Row],[Safekeeping of logs]]="",
   "",
   VLOOKUP(T_Channel[[#This Row],[Safekeeping of logs]],T_List_LogMode[],2,FALSE)
)</f>
        <v/>
      </c>
      <c r="X119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20" spans="2:24" x14ac:dyDescent="0.45">
      <c r="B120" s="7"/>
      <c r="C120" s="5"/>
      <c r="D120" s="5"/>
      <c r="E120" s="5"/>
      <c r="F120" s="6"/>
      <c r="G120" s="6"/>
      <c r="H120" s="6"/>
      <c r="I120" s="6"/>
      <c r="J120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20" s="13"/>
      <c r="L120" s="5"/>
      <c r="M120" s="41"/>
      <c r="N120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20" s="26" t="str">
        <f>IF(
   T_Channel[[#This Row],[ProviderName]]="",
   "",
   COUNTIF($N$12:$N$9982,T_Channel[[#This Row],[ProviderName]])
)</f>
        <v/>
      </c>
      <c r="P120" s="26" t="str">
        <f>IF(
   T_Channel[[#This Row],[Check]]&lt;&gt;"OK",
   "",
   IF(
      T_Channel[[#This Row],[Query]]="",
      "Empty",
      "Defined"
   )
)</f>
        <v/>
      </c>
      <c r="Q120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20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20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2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20" s="20" t="str">
        <f>IF(
   T_Channel[[#This Row],[Check]]&lt;&gt;"OK",
   "",
   T_Channel[[#This Row],[ChannelSymbol]] &amp; ".evtx"
)</f>
        <v/>
      </c>
      <c r="V120" s="20" t="str">
        <f>IF(
   T_Channel[[#This Row],[Check]]&lt;&gt;"OK",
   "",
   T_Channel[[#This Row],[LogFolder]] &amp; "\" &amp; T_Channel[[#This Row],[LogFile]]
)</f>
        <v/>
      </c>
      <c r="W120" s="20" t="str">
        <f>IF(
   T_Channel[[#This Row],[Safekeeping of logs]]="",
   "",
   VLOOKUP(T_Channel[[#This Row],[Safekeeping of logs]],T_List_LogMode[],2,FALSE)
)</f>
        <v/>
      </c>
      <c r="X120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21" spans="2:24" x14ac:dyDescent="0.45">
      <c r="B121" s="7"/>
      <c r="C121" s="5"/>
      <c r="D121" s="5"/>
      <c r="E121" s="5"/>
      <c r="F121" s="6"/>
      <c r="G121" s="6"/>
      <c r="H121" s="6"/>
      <c r="I121" s="6"/>
      <c r="J121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21" s="13"/>
      <c r="L121" s="5"/>
      <c r="M121" s="41"/>
      <c r="N121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21" s="26" t="str">
        <f>IF(
   T_Channel[[#This Row],[ProviderName]]="",
   "",
   COUNTIF($N$12:$N$9982,T_Channel[[#This Row],[ProviderName]])
)</f>
        <v/>
      </c>
      <c r="P121" s="26" t="str">
        <f>IF(
   T_Channel[[#This Row],[Check]]&lt;&gt;"OK",
   "",
   IF(
      T_Channel[[#This Row],[Query]]="",
      "Empty",
      "Defined"
   )
)</f>
        <v/>
      </c>
      <c r="Q121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21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21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2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21" s="20" t="str">
        <f>IF(
   T_Channel[[#This Row],[Check]]&lt;&gt;"OK",
   "",
   T_Channel[[#This Row],[ChannelSymbol]] &amp; ".evtx"
)</f>
        <v/>
      </c>
      <c r="V121" s="20" t="str">
        <f>IF(
   T_Channel[[#This Row],[Check]]&lt;&gt;"OK",
   "",
   T_Channel[[#This Row],[LogFolder]] &amp; "\" &amp; T_Channel[[#This Row],[LogFile]]
)</f>
        <v/>
      </c>
      <c r="W121" s="20" t="str">
        <f>IF(
   T_Channel[[#This Row],[Safekeeping of logs]]="",
   "",
   VLOOKUP(T_Channel[[#This Row],[Safekeeping of logs]],T_List_LogMode[],2,FALSE)
)</f>
        <v/>
      </c>
      <c r="X121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22" spans="2:24" x14ac:dyDescent="0.45">
      <c r="B122" s="7"/>
      <c r="C122" s="5"/>
      <c r="D122" s="5"/>
      <c r="E122" s="5"/>
      <c r="F122" s="6"/>
      <c r="G122" s="6"/>
      <c r="H122" s="6"/>
      <c r="I122" s="6"/>
      <c r="J122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22" s="13"/>
      <c r="L122" s="7"/>
      <c r="M122" s="41"/>
      <c r="N122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22" s="26" t="str">
        <f>IF(
   T_Channel[[#This Row],[ProviderName]]="",
   "",
   COUNTIF($N$12:$N$9982,T_Channel[[#This Row],[ProviderName]])
)</f>
        <v/>
      </c>
      <c r="P122" s="26" t="str">
        <f>IF(
   T_Channel[[#This Row],[Check]]&lt;&gt;"OK",
   "",
   IF(
      T_Channel[[#This Row],[Query]]="",
      "Empty",
      "Defined"
   )
)</f>
        <v/>
      </c>
      <c r="Q122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22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22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2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22" s="20" t="str">
        <f>IF(
   T_Channel[[#This Row],[Check]]&lt;&gt;"OK",
   "",
   T_Channel[[#This Row],[ChannelSymbol]] &amp; ".evtx"
)</f>
        <v/>
      </c>
      <c r="V122" s="20" t="str">
        <f>IF(
   T_Channel[[#This Row],[Check]]&lt;&gt;"OK",
   "",
   T_Channel[[#This Row],[LogFolder]] &amp; "\" &amp; T_Channel[[#This Row],[LogFile]]
)</f>
        <v/>
      </c>
      <c r="W122" s="20" t="str">
        <f>IF(
   T_Channel[[#This Row],[Safekeeping of logs]]="",
   "",
   VLOOKUP(T_Channel[[#This Row],[Safekeeping of logs]],T_List_LogMode[],2,FALSE)
)</f>
        <v/>
      </c>
      <c r="X122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23" spans="2:24" x14ac:dyDescent="0.45">
      <c r="B123" s="7"/>
      <c r="C123" s="5"/>
      <c r="D123" s="5"/>
      <c r="E123" s="5"/>
      <c r="F123" s="6"/>
      <c r="G123" s="6"/>
      <c r="H123" s="6"/>
      <c r="I123" s="6"/>
      <c r="J123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23" s="13"/>
      <c r="L123" s="7"/>
      <c r="M123" s="41"/>
      <c r="N123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23" s="26" t="str">
        <f>IF(
   T_Channel[[#This Row],[ProviderName]]="",
   "",
   COUNTIF($N$12:$N$9982,T_Channel[[#This Row],[ProviderName]])
)</f>
        <v/>
      </c>
      <c r="P123" s="26" t="str">
        <f>IF(
   T_Channel[[#This Row],[Check]]&lt;&gt;"OK",
   "",
   IF(
      T_Channel[[#This Row],[Query]]="",
      "Empty",
      "Defined"
   )
)</f>
        <v/>
      </c>
      <c r="Q123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23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23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2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23" s="20" t="str">
        <f>IF(
   T_Channel[[#This Row],[Check]]&lt;&gt;"OK",
   "",
   T_Channel[[#This Row],[ChannelSymbol]] &amp; ".evtx"
)</f>
        <v/>
      </c>
      <c r="V123" s="20" t="str">
        <f>IF(
   T_Channel[[#This Row],[Check]]&lt;&gt;"OK",
   "",
   T_Channel[[#This Row],[LogFolder]] &amp; "\" &amp; T_Channel[[#This Row],[LogFile]]
)</f>
        <v/>
      </c>
      <c r="W123" s="20" t="str">
        <f>IF(
   T_Channel[[#This Row],[Safekeeping of logs]]="",
   "",
   VLOOKUP(T_Channel[[#This Row],[Safekeeping of logs]],T_List_LogMode[],2,FALSE)
)</f>
        <v/>
      </c>
      <c r="X123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24" spans="2:24" x14ac:dyDescent="0.45">
      <c r="B124" s="7"/>
      <c r="C124" s="5"/>
      <c r="D124" s="5"/>
      <c r="E124" s="5"/>
      <c r="F124" s="6"/>
      <c r="G124" s="6"/>
      <c r="H124" s="6"/>
      <c r="I124" s="6"/>
      <c r="J124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24" s="13"/>
      <c r="L124" s="7"/>
      <c r="M124" s="41"/>
      <c r="N124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24" s="26" t="str">
        <f>IF(
   T_Channel[[#This Row],[ProviderName]]="",
   "",
   COUNTIF($N$12:$N$9982,T_Channel[[#This Row],[ProviderName]])
)</f>
        <v/>
      </c>
      <c r="P124" s="26" t="str">
        <f>IF(
   T_Channel[[#This Row],[Check]]&lt;&gt;"OK",
   "",
   IF(
      T_Channel[[#This Row],[Query]]="",
      "Empty",
      "Defined"
   )
)</f>
        <v/>
      </c>
      <c r="Q124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24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24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2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24" s="20" t="str">
        <f>IF(
   T_Channel[[#This Row],[Check]]&lt;&gt;"OK",
   "",
   T_Channel[[#This Row],[ChannelSymbol]] &amp; ".evtx"
)</f>
        <v/>
      </c>
      <c r="V124" s="20" t="str">
        <f>IF(
   T_Channel[[#This Row],[Check]]&lt;&gt;"OK",
   "",
   T_Channel[[#This Row],[LogFolder]] &amp; "\" &amp; T_Channel[[#This Row],[LogFile]]
)</f>
        <v/>
      </c>
      <c r="W124" s="20" t="str">
        <f>IF(
   T_Channel[[#This Row],[Safekeeping of logs]]="",
   "",
   VLOOKUP(T_Channel[[#This Row],[Safekeeping of logs]],T_List_LogMode[],2,FALSE)
)</f>
        <v/>
      </c>
      <c r="X124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25" spans="2:24" x14ac:dyDescent="0.45">
      <c r="B125" s="7"/>
      <c r="C125" s="5"/>
      <c r="D125" s="5"/>
      <c r="E125" s="5"/>
      <c r="F125" s="6"/>
      <c r="G125" s="6"/>
      <c r="H125" s="6"/>
      <c r="I125" s="6"/>
      <c r="J125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25" s="13"/>
      <c r="L125" s="7"/>
      <c r="M125" s="41"/>
      <c r="N125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25" s="26" t="str">
        <f>IF(
   T_Channel[[#This Row],[ProviderName]]="",
   "",
   COUNTIF($N$12:$N$9982,T_Channel[[#This Row],[ProviderName]])
)</f>
        <v/>
      </c>
      <c r="P125" s="26" t="str">
        <f>IF(
   T_Channel[[#This Row],[Check]]&lt;&gt;"OK",
   "",
   IF(
      T_Channel[[#This Row],[Query]]="",
      "Empty",
      "Defined"
   )
)</f>
        <v/>
      </c>
      <c r="Q125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25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25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2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25" s="20" t="str">
        <f>IF(
   T_Channel[[#This Row],[Check]]&lt;&gt;"OK",
   "",
   T_Channel[[#This Row],[ChannelSymbol]] &amp; ".evtx"
)</f>
        <v/>
      </c>
      <c r="V125" s="20" t="str">
        <f>IF(
   T_Channel[[#This Row],[Check]]&lt;&gt;"OK",
   "",
   T_Channel[[#This Row],[LogFolder]] &amp; "\" &amp; T_Channel[[#This Row],[LogFile]]
)</f>
        <v/>
      </c>
      <c r="W125" s="20" t="str">
        <f>IF(
   T_Channel[[#This Row],[Safekeeping of logs]]="",
   "",
   VLOOKUP(T_Channel[[#This Row],[Safekeeping of logs]],T_List_LogMode[],2,FALSE)
)</f>
        <v/>
      </c>
      <c r="X125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26" spans="2:24" x14ac:dyDescent="0.45">
      <c r="B126" s="7"/>
      <c r="C126" s="5"/>
      <c r="D126" s="5"/>
      <c r="E126" s="5"/>
      <c r="F126" s="6"/>
      <c r="G126" s="6"/>
      <c r="H126" s="6"/>
      <c r="I126" s="6"/>
      <c r="J126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26" s="13"/>
      <c r="L126" s="7"/>
      <c r="M126" s="41"/>
      <c r="N126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26" s="26" t="str">
        <f>IF(
   T_Channel[[#This Row],[ProviderName]]="",
   "",
   COUNTIF($N$12:$N$9982,T_Channel[[#This Row],[ProviderName]])
)</f>
        <v/>
      </c>
      <c r="P126" s="26" t="str">
        <f>IF(
   T_Channel[[#This Row],[Check]]&lt;&gt;"OK",
   "",
   IF(
      T_Channel[[#This Row],[Query]]="",
      "Empty",
      "Defined"
   )
)</f>
        <v/>
      </c>
      <c r="Q126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26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26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2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26" s="20" t="str">
        <f>IF(
   T_Channel[[#This Row],[Check]]&lt;&gt;"OK",
   "",
   T_Channel[[#This Row],[ChannelSymbol]] &amp; ".evtx"
)</f>
        <v/>
      </c>
      <c r="V126" s="20" t="str">
        <f>IF(
   T_Channel[[#This Row],[Check]]&lt;&gt;"OK",
   "",
   T_Channel[[#This Row],[LogFolder]] &amp; "\" &amp; T_Channel[[#This Row],[LogFile]]
)</f>
        <v/>
      </c>
      <c r="W126" s="20" t="str">
        <f>IF(
   T_Channel[[#This Row],[Safekeeping of logs]]="",
   "",
   VLOOKUP(T_Channel[[#This Row],[Safekeeping of logs]],T_List_LogMode[],2,FALSE)
)</f>
        <v/>
      </c>
      <c r="X126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27" spans="2:24" x14ac:dyDescent="0.45">
      <c r="B127" s="7"/>
      <c r="C127" s="5"/>
      <c r="D127" s="5"/>
      <c r="E127" s="5"/>
      <c r="F127" s="6"/>
      <c r="G127" s="6"/>
      <c r="H127" s="6"/>
      <c r="I127" s="6"/>
      <c r="J127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27" s="35"/>
      <c r="L127" s="7"/>
      <c r="M127" s="41"/>
      <c r="N127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27" s="26" t="str">
        <f>IF(
   T_Channel[[#This Row],[ProviderName]]="",
   "",
   COUNTIF($N$12:$N$9982,T_Channel[[#This Row],[ProviderName]])
)</f>
        <v/>
      </c>
      <c r="P127" s="26" t="str">
        <f>IF(
   T_Channel[[#This Row],[Check]]&lt;&gt;"OK",
   "",
   IF(
      T_Channel[[#This Row],[Query]]="",
      "Empty",
      "Defined"
   )
)</f>
        <v/>
      </c>
      <c r="Q127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27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27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2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27" s="20" t="str">
        <f>IF(
   T_Channel[[#This Row],[Check]]&lt;&gt;"OK",
   "",
   T_Channel[[#This Row],[ChannelSymbol]] &amp; ".evtx"
)</f>
        <v/>
      </c>
      <c r="V127" s="20" t="str">
        <f>IF(
   T_Channel[[#This Row],[Check]]&lt;&gt;"OK",
   "",
   T_Channel[[#This Row],[LogFolder]] &amp; "\" &amp; T_Channel[[#This Row],[LogFile]]
)</f>
        <v/>
      </c>
      <c r="W127" s="20" t="str">
        <f>IF(
   T_Channel[[#This Row],[Safekeeping of logs]]="",
   "",
   VLOOKUP(T_Channel[[#This Row],[Safekeeping of logs]],T_List_LogMode[],2,FALSE)
)</f>
        <v/>
      </c>
      <c r="X127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28" spans="2:24" x14ac:dyDescent="0.45">
      <c r="B128" s="7"/>
      <c r="C128" s="5"/>
      <c r="D128" s="5"/>
      <c r="E128" s="5"/>
      <c r="F128" s="6"/>
      <c r="G128" s="6"/>
      <c r="H128" s="6"/>
      <c r="I128" s="6"/>
      <c r="J128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28" s="13"/>
      <c r="L128" s="7"/>
      <c r="M128" s="41"/>
      <c r="N128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28" s="26" t="str">
        <f>IF(
   T_Channel[[#This Row],[ProviderName]]="",
   "",
   COUNTIF($N$12:$N$9982,T_Channel[[#This Row],[ProviderName]])
)</f>
        <v/>
      </c>
      <c r="P128" s="26" t="str">
        <f>IF(
   T_Channel[[#This Row],[Check]]&lt;&gt;"OK",
   "",
   IF(
      T_Channel[[#This Row],[Query]]="",
      "Empty",
      "Defined"
   )
)</f>
        <v/>
      </c>
      <c r="Q128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28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28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2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28" s="20" t="str">
        <f>IF(
   T_Channel[[#This Row],[Check]]&lt;&gt;"OK",
   "",
   T_Channel[[#This Row],[ChannelSymbol]] &amp; ".evtx"
)</f>
        <v/>
      </c>
      <c r="V128" s="20" t="str">
        <f>IF(
   T_Channel[[#This Row],[Check]]&lt;&gt;"OK",
   "",
   T_Channel[[#This Row],[LogFolder]] &amp; "\" &amp; T_Channel[[#This Row],[LogFile]]
)</f>
        <v/>
      </c>
      <c r="W128" s="20" t="str">
        <f>IF(
   T_Channel[[#This Row],[Safekeeping of logs]]="",
   "",
   VLOOKUP(T_Channel[[#This Row],[Safekeeping of logs]],T_List_LogMode[],2,FALSE)
)</f>
        <v/>
      </c>
      <c r="X128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29" spans="2:24" x14ac:dyDescent="0.45">
      <c r="B129" s="7"/>
      <c r="C129" s="7"/>
      <c r="D129" s="7"/>
      <c r="E129" s="7"/>
      <c r="F129" s="6"/>
      <c r="G129" s="6"/>
      <c r="H129" s="6"/>
      <c r="I129" s="6"/>
      <c r="J129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29" s="21"/>
      <c r="L129" s="7"/>
      <c r="M129" s="41"/>
      <c r="N129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29" s="26" t="str">
        <f>IF(
   T_Channel[[#This Row],[ProviderName]]="",
   "",
   COUNTIF($N$12:$N$9982,T_Channel[[#This Row],[ProviderName]])
)</f>
        <v/>
      </c>
      <c r="P129" s="26" t="str">
        <f>IF(
   T_Channel[[#This Row],[Check]]&lt;&gt;"OK",
   "",
   IF(
      T_Channel[[#This Row],[Query]]="",
      "Empty",
      "Defined"
   )
)</f>
        <v/>
      </c>
      <c r="Q129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29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29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2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29" s="20" t="str">
        <f>IF(
   T_Channel[[#This Row],[Check]]&lt;&gt;"OK",
   "",
   T_Channel[[#This Row],[ChannelSymbol]] &amp; ".evtx"
)</f>
        <v/>
      </c>
      <c r="V129" s="20" t="str">
        <f>IF(
   T_Channel[[#This Row],[Check]]&lt;&gt;"OK",
   "",
   T_Channel[[#This Row],[LogFolder]] &amp; "\" &amp; T_Channel[[#This Row],[LogFile]]
)</f>
        <v/>
      </c>
      <c r="W129" s="20" t="str">
        <f>IF(
   T_Channel[[#This Row],[Safekeeping of logs]]="",
   "",
   VLOOKUP(T_Channel[[#This Row],[Safekeeping of logs]],T_List_LogMode[],2,FALSE)
)</f>
        <v/>
      </c>
      <c r="X129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30" spans="2:24" x14ac:dyDescent="0.45">
      <c r="B130" s="7"/>
      <c r="C130" s="7"/>
      <c r="D130" s="7"/>
      <c r="E130" s="7"/>
      <c r="F130" s="34"/>
      <c r="G130" s="6"/>
      <c r="H130" s="6"/>
      <c r="I130" s="6"/>
      <c r="J130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30" s="21"/>
      <c r="L130" s="7"/>
      <c r="M130" s="41"/>
      <c r="N130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30" s="26" t="str">
        <f>IF(
   T_Channel[[#This Row],[ProviderName]]="",
   "",
   COUNTIF($N$12:$N$9982,T_Channel[[#This Row],[ProviderName]])
)</f>
        <v/>
      </c>
      <c r="P130" s="26" t="str">
        <f>IF(
   T_Channel[[#This Row],[Check]]&lt;&gt;"OK",
   "",
   IF(
      T_Channel[[#This Row],[Query]]="",
      "Empty",
      "Defined"
   )
)</f>
        <v/>
      </c>
      <c r="Q130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30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30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3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30" s="20" t="str">
        <f>IF(
   T_Channel[[#This Row],[Check]]&lt;&gt;"OK",
   "",
   T_Channel[[#This Row],[ChannelSymbol]] &amp; ".evtx"
)</f>
        <v/>
      </c>
      <c r="V130" s="20" t="str">
        <f>IF(
   T_Channel[[#This Row],[Check]]&lt;&gt;"OK",
   "",
   T_Channel[[#This Row],[LogFolder]] &amp; "\" &amp; T_Channel[[#This Row],[LogFile]]
)</f>
        <v/>
      </c>
      <c r="W130" s="20" t="str">
        <f>IF(
   T_Channel[[#This Row],[Safekeeping of logs]]="",
   "",
   VLOOKUP(T_Channel[[#This Row],[Safekeeping of logs]],T_List_LogMode[],2,FALSE)
)</f>
        <v/>
      </c>
      <c r="X130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31" spans="2:24" x14ac:dyDescent="0.45">
      <c r="B131" s="7"/>
      <c r="C131" s="7"/>
      <c r="D131" s="5"/>
      <c r="E131" s="7"/>
      <c r="F131" s="34"/>
      <c r="G131" s="6"/>
      <c r="H131" s="6"/>
      <c r="I131" s="6"/>
      <c r="J131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31" s="21"/>
      <c r="L131" s="7"/>
      <c r="M131" s="41"/>
      <c r="N131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31" s="26" t="str">
        <f>IF(
   T_Channel[[#This Row],[ProviderName]]="",
   "",
   COUNTIF($N$12:$N$9982,T_Channel[[#This Row],[ProviderName]])
)</f>
        <v/>
      </c>
      <c r="P131" s="26" t="str">
        <f>IF(
   T_Channel[[#This Row],[Check]]&lt;&gt;"OK",
   "",
   IF(
      T_Channel[[#This Row],[Query]]="",
      "Empty",
      "Defined"
   )
)</f>
        <v/>
      </c>
      <c r="Q131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31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31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3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31" s="20" t="str">
        <f>IF(
   T_Channel[[#This Row],[Check]]&lt;&gt;"OK",
   "",
   T_Channel[[#This Row],[ChannelSymbol]] &amp; ".evtx"
)</f>
        <v/>
      </c>
      <c r="V131" s="20" t="str">
        <f>IF(
   T_Channel[[#This Row],[Check]]&lt;&gt;"OK",
   "",
   T_Channel[[#This Row],[LogFolder]] &amp; "\" &amp; T_Channel[[#This Row],[LogFile]]
)</f>
        <v/>
      </c>
      <c r="W131" s="20" t="str">
        <f>IF(
   T_Channel[[#This Row],[Safekeeping of logs]]="",
   "",
   VLOOKUP(T_Channel[[#This Row],[Safekeeping of logs]],T_List_LogMode[],2,FALSE)
)</f>
        <v/>
      </c>
      <c r="X131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32" spans="2:24" x14ac:dyDescent="0.45">
      <c r="B132" s="7"/>
      <c r="C132" s="7"/>
      <c r="D132" s="5"/>
      <c r="E132" s="7"/>
      <c r="F132" s="34"/>
      <c r="G132" s="6"/>
      <c r="H132" s="6"/>
      <c r="I132" s="6"/>
      <c r="J132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32" s="21"/>
      <c r="L132" s="7"/>
      <c r="M132" s="41"/>
      <c r="N132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32" s="26" t="str">
        <f>IF(
   T_Channel[[#This Row],[ProviderName]]="",
   "",
   COUNTIF($N$12:$N$9982,T_Channel[[#This Row],[ProviderName]])
)</f>
        <v/>
      </c>
      <c r="P132" s="26" t="str">
        <f>IF(
   T_Channel[[#This Row],[Check]]&lt;&gt;"OK",
   "",
   IF(
      T_Channel[[#This Row],[Query]]="",
      "Empty",
      "Defined"
   )
)</f>
        <v/>
      </c>
      <c r="Q132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32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32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3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32" s="20" t="str">
        <f>IF(
   T_Channel[[#This Row],[Check]]&lt;&gt;"OK",
   "",
   T_Channel[[#This Row],[ChannelSymbol]] &amp; ".evtx"
)</f>
        <v/>
      </c>
      <c r="V132" s="20" t="str">
        <f>IF(
   T_Channel[[#This Row],[Check]]&lt;&gt;"OK",
   "",
   T_Channel[[#This Row],[LogFolder]] &amp; "\" &amp; T_Channel[[#This Row],[LogFile]]
)</f>
        <v/>
      </c>
      <c r="W132" s="20" t="str">
        <f>IF(
   T_Channel[[#This Row],[Safekeeping of logs]]="",
   "",
   VLOOKUP(T_Channel[[#This Row],[Safekeeping of logs]],T_List_LogMode[],2,FALSE)
)</f>
        <v/>
      </c>
      <c r="X132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33" spans="2:24" x14ac:dyDescent="0.45">
      <c r="B133" s="7"/>
      <c r="C133" s="7"/>
      <c r="D133" s="7"/>
      <c r="E133" s="7"/>
      <c r="F133" s="6"/>
      <c r="G133" s="6"/>
      <c r="H133" s="6"/>
      <c r="I133" s="6"/>
      <c r="J133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33" s="21"/>
      <c r="L133" s="7"/>
      <c r="M133" s="41"/>
      <c r="N133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33" s="26" t="str">
        <f>IF(
   T_Channel[[#This Row],[ProviderName]]="",
   "",
   COUNTIF($N$12:$N$9982,T_Channel[[#This Row],[ProviderName]])
)</f>
        <v/>
      </c>
      <c r="P133" s="26" t="str">
        <f>IF(
   T_Channel[[#This Row],[Check]]&lt;&gt;"OK",
   "",
   IF(
      T_Channel[[#This Row],[Query]]="",
      "Empty",
      "Defined"
   )
)</f>
        <v/>
      </c>
      <c r="Q133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33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33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3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33" s="20" t="str">
        <f>IF(
   T_Channel[[#This Row],[Check]]&lt;&gt;"OK",
   "",
   T_Channel[[#This Row],[ChannelSymbol]] &amp; ".evtx"
)</f>
        <v/>
      </c>
      <c r="V133" s="20" t="str">
        <f>IF(
   T_Channel[[#This Row],[Check]]&lt;&gt;"OK",
   "",
   T_Channel[[#This Row],[LogFolder]] &amp; "\" &amp; T_Channel[[#This Row],[LogFile]]
)</f>
        <v/>
      </c>
      <c r="W133" s="20" t="str">
        <f>IF(
   T_Channel[[#This Row],[Safekeeping of logs]]="",
   "",
   VLOOKUP(T_Channel[[#This Row],[Safekeeping of logs]],T_List_LogMode[],2,FALSE)
)</f>
        <v/>
      </c>
      <c r="X133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34" spans="2:24" x14ac:dyDescent="0.45">
      <c r="B134" s="7"/>
      <c r="C134" s="7"/>
      <c r="D134" s="7"/>
      <c r="E134" s="7"/>
      <c r="F134" s="6"/>
      <c r="G134" s="6"/>
      <c r="H134" s="6"/>
      <c r="I134" s="6"/>
      <c r="J134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34" s="21"/>
      <c r="L134" s="7"/>
      <c r="M134" s="41"/>
      <c r="N134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34" s="26" t="str">
        <f>IF(
   T_Channel[[#This Row],[ProviderName]]="",
   "",
   COUNTIF($N$12:$N$9982,T_Channel[[#This Row],[ProviderName]])
)</f>
        <v/>
      </c>
      <c r="P134" s="26" t="str">
        <f>IF(
   T_Channel[[#This Row],[Check]]&lt;&gt;"OK",
   "",
   IF(
      T_Channel[[#This Row],[Query]]="",
      "Empty",
      "Defined"
   )
)</f>
        <v/>
      </c>
      <c r="Q134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34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34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3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34" s="20" t="str">
        <f>IF(
   T_Channel[[#This Row],[Check]]&lt;&gt;"OK",
   "",
   T_Channel[[#This Row],[ChannelSymbol]] &amp; ".evtx"
)</f>
        <v/>
      </c>
      <c r="V134" s="20" t="str">
        <f>IF(
   T_Channel[[#This Row],[Check]]&lt;&gt;"OK",
   "",
   T_Channel[[#This Row],[LogFolder]] &amp; "\" &amp; T_Channel[[#This Row],[LogFile]]
)</f>
        <v/>
      </c>
      <c r="W134" s="20" t="str">
        <f>IF(
   T_Channel[[#This Row],[Safekeeping of logs]]="",
   "",
   VLOOKUP(T_Channel[[#This Row],[Safekeeping of logs]],T_List_LogMode[],2,FALSE)
)</f>
        <v/>
      </c>
      <c r="X134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35" spans="2:24" x14ac:dyDescent="0.45">
      <c r="B135" s="7"/>
      <c r="C135" s="7"/>
      <c r="D135" s="5"/>
      <c r="E135" s="7"/>
      <c r="F135" s="6"/>
      <c r="G135" s="6"/>
      <c r="H135" s="6"/>
      <c r="I135" s="6"/>
      <c r="J135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35" s="21"/>
      <c r="L135" s="7"/>
      <c r="M135" s="41"/>
      <c r="N135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35" s="26" t="str">
        <f>IF(
   T_Channel[[#This Row],[ProviderName]]="",
   "",
   COUNTIF($N$12:$N$9982,T_Channel[[#This Row],[ProviderName]])
)</f>
        <v/>
      </c>
      <c r="P135" s="26" t="str">
        <f>IF(
   T_Channel[[#This Row],[Check]]&lt;&gt;"OK",
   "",
   IF(
      T_Channel[[#This Row],[Query]]="",
      "Empty",
      "Defined"
   )
)</f>
        <v/>
      </c>
      <c r="Q135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35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35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3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35" s="20" t="str">
        <f>IF(
   T_Channel[[#This Row],[Check]]&lt;&gt;"OK",
   "",
   T_Channel[[#This Row],[ChannelSymbol]] &amp; ".evtx"
)</f>
        <v/>
      </c>
      <c r="V135" s="20" t="str">
        <f>IF(
   T_Channel[[#This Row],[Check]]&lt;&gt;"OK",
   "",
   T_Channel[[#This Row],[LogFolder]] &amp; "\" &amp; T_Channel[[#This Row],[LogFile]]
)</f>
        <v/>
      </c>
      <c r="W135" s="20" t="str">
        <f>IF(
   T_Channel[[#This Row],[Safekeeping of logs]]="",
   "",
   VLOOKUP(T_Channel[[#This Row],[Safekeeping of logs]],T_List_LogMode[],2,FALSE)
)</f>
        <v/>
      </c>
      <c r="X135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36" spans="2:24" x14ac:dyDescent="0.45">
      <c r="B136" s="7"/>
      <c r="C136" s="7"/>
      <c r="D136" s="5"/>
      <c r="E136" s="7"/>
      <c r="F136" s="6"/>
      <c r="G136" s="6"/>
      <c r="H136" s="6"/>
      <c r="I136" s="6"/>
      <c r="J136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36" s="21"/>
      <c r="L136" s="7"/>
      <c r="M136" s="41"/>
      <c r="N136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36" s="26" t="str">
        <f>IF(
   T_Channel[[#This Row],[ProviderName]]="",
   "",
   COUNTIF($N$12:$N$9982,T_Channel[[#This Row],[ProviderName]])
)</f>
        <v/>
      </c>
      <c r="P136" s="26" t="str">
        <f>IF(
   T_Channel[[#This Row],[Check]]&lt;&gt;"OK",
   "",
   IF(
      T_Channel[[#This Row],[Query]]="",
      "Empty",
      "Defined"
   )
)</f>
        <v/>
      </c>
      <c r="Q136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36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36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3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36" s="20" t="str">
        <f>IF(
   T_Channel[[#This Row],[Check]]&lt;&gt;"OK",
   "",
   T_Channel[[#This Row],[ChannelSymbol]] &amp; ".evtx"
)</f>
        <v/>
      </c>
      <c r="V136" s="20" t="str">
        <f>IF(
   T_Channel[[#This Row],[Check]]&lt;&gt;"OK",
   "",
   T_Channel[[#This Row],[LogFolder]] &amp; "\" &amp; T_Channel[[#This Row],[LogFile]]
)</f>
        <v/>
      </c>
      <c r="W136" s="20" t="str">
        <f>IF(
   T_Channel[[#This Row],[Safekeeping of logs]]="",
   "",
   VLOOKUP(T_Channel[[#This Row],[Safekeeping of logs]],T_List_LogMode[],2,FALSE)
)</f>
        <v/>
      </c>
      <c r="X136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37" spans="2:24" x14ac:dyDescent="0.45">
      <c r="B137" s="7"/>
      <c r="C137" s="7"/>
      <c r="D137" s="7"/>
      <c r="E137" s="7"/>
      <c r="F137" s="6"/>
      <c r="G137" s="6"/>
      <c r="H137" s="6"/>
      <c r="I137" s="6"/>
      <c r="J137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37" s="21"/>
      <c r="L137" s="7"/>
      <c r="M137" s="41"/>
      <c r="N137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37" s="26" t="str">
        <f>IF(
   T_Channel[[#This Row],[ProviderName]]="",
   "",
   COUNTIF($N$12:$N$9982,T_Channel[[#This Row],[ProviderName]])
)</f>
        <v/>
      </c>
      <c r="P137" s="26" t="str">
        <f>IF(
   T_Channel[[#This Row],[Check]]&lt;&gt;"OK",
   "",
   IF(
      T_Channel[[#This Row],[Query]]="",
      "Empty",
      "Defined"
   )
)</f>
        <v/>
      </c>
      <c r="Q137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37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37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3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37" s="20" t="str">
        <f>IF(
   T_Channel[[#This Row],[Check]]&lt;&gt;"OK",
   "",
   T_Channel[[#This Row],[ChannelSymbol]] &amp; ".evtx"
)</f>
        <v/>
      </c>
      <c r="V137" s="20" t="str">
        <f>IF(
   T_Channel[[#This Row],[Check]]&lt;&gt;"OK",
   "",
   T_Channel[[#This Row],[LogFolder]] &amp; "\" &amp; T_Channel[[#This Row],[LogFile]]
)</f>
        <v/>
      </c>
      <c r="W137" s="20" t="str">
        <f>IF(
   T_Channel[[#This Row],[Safekeeping of logs]]="",
   "",
   VLOOKUP(T_Channel[[#This Row],[Safekeeping of logs]],T_List_LogMode[],2,FALSE)
)</f>
        <v/>
      </c>
      <c r="X137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38" spans="2:24" x14ac:dyDescent="0.45">
      <c r="B138" s="7"/>
      <c r="C138" s="7"/>
      <c r="D138" s="7"/>
      <c r="E138" s="7"/>
      <c r="F138" s="6"/>
      <c r="G138" s="6"/>
      <c r="H138" s="6"/>
      <c r="I138" s="6"/>
      <c r="J138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38" s="21"/>
      <c r="L138" s="7"/>
      <c r="M138" s="41"/>
      <c r="N138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38" s="26" t="str">
        <f>IF(
   T_Channel[[#This Row],[ProviderName]]="",
   "",
   COUNTIF($N$12:$N$9982,T_Channel[[#This Row],[ProviderName]])
)</f>
        <v/>
      </c>
      <c r="P138" s="26" t="str">
        <f>IF(
   T_Channel[[#This Row],[Check]]&lt;&gt;"OK",
   "",
   IF(
      T_Channel[[#This Row],[Query]]="",
      "Empty",
      "Defined"
   )
)</f>
        <v/>
      </c>
      <c r="Q138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38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38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3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38" s="20" t="str">
        <f>IF(
   T_Channel[[#This Row],[Check]]&lt;&gt;"OK",
   "",
   T_Channel[[#This Row],[ChannelSymbol]] &amp; ".evtx"
)</f>
        <v/>
      </c>
      <c r="V138" s="20" t="str">
        <f>IF(
   T_Channel[[#This Row],[Check]]&lt;&gt;"OK",
   "",
   T_Channel[[#This Row],[LogFolder]] &amp; "\" &amp; T_Channel[[#This Row],[LogFile]]
)</f>
        <v/>
      </c>
      <c r="W138" s="20" t="str">
        <f>IF(
   T_Channel[[#This Row],[Safekeeping of logs]]="",
   "",
   VLOOKUP(T_Channel[[#This Row],[Safekeeping of logs]],T_List_LogMode[],2,FALSE)
)</f>
        <v/>
      </c>
      <c r="X138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39" spans="2:24" x14ac:dyDescent="0.45">
      <c r="B139" s="7"/>
      <c r="C139" s="7"/>
      <c r="D139" s="5"/>
      <c r="E139" s="7"/>
      <c r="F139" s="6"/>
      <c r="G139" s="6"/>
      <c r="H139" s="6"/>
      <c r="I139" s="6"/>
      <c r="J139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39" s="21"/>
      <c r="L139" s="7"/>
      <c r="M139" s="41"/>
      <c r="N139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39" s="26" t="str">
        <f>IF(
   T_Channel[[#This Row],[ProviderName]]="",
   "",
   COUNTIF($N$12:$N$9982,T_Channel[[#This Row],[ProviderName]])
)</f>
        <v/>
      </c>
      <c r="P139" s="26" t="str">
        <f>IF(
   T_Channel[[#This Row],[Check]]&lt;&gt;"OK",
   "",
   IF(
      T_Channel[[#This Row],[Query]]="",
      "Empty",
      "Defined"
   )
)</f>
        <v/>
      </c>
      <c r="Q139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39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39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3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39" s="20" t="str">
        <f>IF(
   T_Channel[[#This Row],[Check]]&lt;&gt;"OK",
   "",
   T_Channel[[#This Row],[ChannelSymbol]] &amp; ".evtx"
)</f>
        <v/>
      </c>
      <c r="V139" s="20" t="str">
        <f>IF(
   T_Channel[[#This Row],[Check]]&lt;&gt;"OK",
   "",
   T_Channel[[#This Row],[LogFolder]] &amp; "\" &amp; T_Channel[[#This Row],[LogFile]]
)</f>
        <v/>
      </c>
      <c r="W139" s="20" t="str">
        <f>IF(
   T_Channel[[#This Row],[Safekeeping of logs]]="",
   "",
   VLOOKUP(T_Channel[[#This Row],[Safekeeping of logs]],T_List_LogMode[],2,FALSE)
)</f>
        <v/>
      </c>
      <c r="X139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40" spans="2:24" x14ac:dyDescent="0.45">
      <c r="B140" s="7"/>
      <c r="C140" s="7"/>
      <c r="D140" s="5"/>
      <c r="E140" s="7"/>
      <c r="F140" s="6"/>
      <c r="G140" s="6"/>
      <c r="H140" s="6"/>
      <c r="I140" s="6"/>
      <c r="J140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40" s="21"/>
      <c r="L140" s="7"/>
      <c r="M140" s="41"/>
      <c r="N140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40" s="26" t="str">
        <f>IF(
   T_Channel[[#This Row],[ProviderName]]="",
   "",
   COUNTIF($N$12:$N$9982,T_Channel[[#This Row],[ProviderName]])
)</f>
        <v/>
      </c>
      <c r="P140" s="26" t="str">
        <f>IF(
   T_Channel[[#This Row],[Check]]&lt;&gt;"OK",
   "",
   IF(
      T_Channel[[#This Row],[Query]]="",
      "Empty",
      "Defined"
   )
)</f>
        <v/>
      </c>
      <c r="Q140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40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40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4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40" s="20" t="str">
        <f>IF(
   T_Channel[[#This Row],[Check]]&lt;&gt;"OK",
   "",
   T_Channel[[#This Row],[ChannelSymbol]] &amp; ".evtx"
)</f>
        <v/>
      </c>
      <c r="V140" s="20" t="str">
        <f>IF(
   T_Channel[[#This Row],[Check]]&lt;&gt;"OK",
   "",
   T_Channel[[#This Row],[LogFolder]] &amp; "\" &amp; T_Channel[[#This Row],[LogFile]]
)</f>
        <v/>
      </c>
      <c r="W140" s="20" t="str">
        <f>IF(
   T_Channel[[#This Row],[Safekeeping of logs]]="",
   "",
   VLOOKUP(T_Channel[[#This Row],[Safekeeping of logs]],T_List_LogMode[],2,FALSE)
)</f>
        <v/>
      </c>
      <c r="X140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41" spans="2:24" x14ac:dyDescent="0.45">
      <c r="B141" s="7"/>
      <c r="C141" s="5"/>
      <c r="D141" s="5"/>
      <c r="E141" s="5"/>
      <c r="F141" s="6"/>
      <c r="G141" s="6"/>
      <c r="H141" s="6"/>
      <c r="I141" s="6"/>
      <c r="J141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41" s="13"/>
      <c r="L141" s="7"/>
      <c r="M141" s="41"/>
      <c r="N141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41" s="26" t="str">
        <f>IF(
   T_Channel[[#This Row],[ProviderName]]="",
   "",
   COUNTIF($N$12:$N$9982,T_Channel[[#This Row],[ProviderName]])
)</f>
        <v/>
      </c>
      <c r="P141" s="26" t="str">
        <f>IF(
   T_Channel[[#This Row],[Check]]&lt;&gt;"OK",
   "",
   IF(
      T_Channel[[#This Row],[Query]]="",
      "Empty",
      "Defined"
   )
)</f>
        <v/>
      </c>
      <c r="Q141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41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41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4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41" s="20" t="str">
        <f>IF(
   T_Channel[[#This Row],[Check]]&lt;&gt;"OK",
   "",
   T_Channel[[#This Row],[ChannelSymbol]] &amp; ".evtx"
)</f>
        <v/>
      </c>
      <c r="V141" s="20" t="str">
        <f>IF(
   T_Channel[[#This Row],[Check]]&lt;&gt;"OK",
   "",
   T_Channel[[#This Row],[LogFolder]] &amp; "\" &amp; T_Channel[[#This Row],[LogFile]]
)</f>
        <v/>
      </c>
      <c r="W141" s="20" t="str">
        <f>IF(
   T_Channel[[#This Row],[Safekeeping of logs]]="",
   "",
   VLOOKUP(T_Channel[[#This Row],[Safekeeping of logs]],T_List_LogMode[],2,FALSE)
)</f>
        <v/>
      </c>
      <c r="X141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42" spans="2:24" x14ac:dyDescent="0.45">
      <c r="B142" s="7"/>
      <c r="C142" s="5"/>
      <c r="D142" s="5"/>
      <c r="E142" s="5"/>
      <c r="F142" s="6"/>
      <c r="G142" s="6"/>
      <c r="H142" s="6"/>
      <c r="I142" s="6"/>
      <c r="J142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42" s="13"/>
      <c r="L142" s="7"/>
      <c r="M142" s="41"/>
      <c r="N142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42" s="26" t="str">
        <f>IF(
   T_Channel[[#This Row],[ProviderName]]="",
   "",
   COUNTIF($N$12:$N$9982,T_Channel[[#This Row],[ProviderName]])
)</f>
        <v/>
      </c>
      <c r="P142" s="26" t="str">
        <f>IF(
   T_Channel[[#This Row],[Check]]&lt;&gt;"OK",
   "",
   IF(
      T_Channel[[#This Row],[Query]]="",
      "Empty",
      "Defined"
   )
)</f>
        <v/>
      </c>
      <c r="Q142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42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42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4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42" s="20" t="str">
        <f>IF(
   T_Channel[[#This Row],[Check]]&lt;&gt;"OK",
   "",
   T_Channel[[#This Row],[ChannelSymbol]] &amp; ".evtx"
)</f>
        <v/>
      </c>
      <c r="V142" s="20" t="str">
        <f>IF(
   T_Channel[[#This Row],[Check]]&lt;&gt;"OK",
   "",
   T_Channel[[#This Row],[LogFolder]] &amp; "\" &amp; T_Channel[[#This Row],[LogFile]]
)</f>
        <v/>
      </c>
      <c r="W142" s="20" t="str">
        <f>IF(
   T_Channel[[#This Row],[Safekeeping of logs]]="",
   "",
   VLOOKUP(T_Channel[[#This Row],[Safekeeping of logs]],T_List_LogMode[],2,FALSE)
)</f>
        <v/>
      </c>
      <c r="X142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43" spans="2:24" x14ac:dyDescent="0.45">
      <c r="B143" s="7"/>
      <c r="C143" s="5"/>
      <c r="D143" s="5"/>
      <c r="E143" s="5"/>
      <c r="F143" s="6"/>
      <c r="G143" s="6"/>
      <c r="H143" s="6"/>
      <c r="I143" s="6"/>
      <c r="J143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43" s="13"/>
      <c r="L143" s="7"/>
      <c r="M143" s="41"/>
      <c r="N143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43" s="26" t="str">
        <f>IF(
   T_Channel[[#This Row],[ProviderName]]="",
   "",
   COUNTIF($N$12:$N$9982,T_Channel[[#This Row],[ProviderName]])
)</f>
        <v/>
      </c>
      <c r="P143" s="26" t="str">
        <f>IF(
   T_Channel[[#This Row],[Check]]&lt;&gt;"OK",
   "",
   IF(
      T_Channel[[#This Row],[Query]]="",
      "Empty",
      "Defined"
   )
)</f>
        <v/>
      </c>
      <c r="Q143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43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43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4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43" s="20" t="str">
        <f>IF(
   T_Channel[[#This Row],[Check]]&lt;&gt;"OK",
   "",
   T_Channel[[#This Row],[ChannelSymbol]] &amp; ".evtx"
)</f>
        <v/>
      </c>
      <c r="V143" s="20" t="str">
        <f>IF(
   T_Channel[[#This Row],[Check]]&lt;&gt;"OK",
   "",
   T_Channel[[#This Row],[LogFolder]] &amp; "\" &amp; T_Channel[[#This Row],[LogFile]]
)</f>
        <v/>
      </c>
      <c r="W143" s="20" t="str">
        <f>IF(
   T_Channel[[#This Row],[Safekeeping of logs]]="",
   "",
   VLOOKUP(T_Channel[[#This Row],[Safekeeping of logs]],T_List_LogMode[],2,FALSE)
)</f>
        <v/>
      </c>
      <c r="X143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44" spans="2:24" x14ac:dyDescent="0.45">
      <c r="B144" s="7"/>
      <c r="C144" s="5"/>
      <c r="D144" s="5"/>
      <c r="E144" s="5"/>
      <c r="F144" s="6"/>
      <c r="G144" s="6"/>
      <c r="H144" s="6"/>
      <c r="I144" s="6"/>
      <c r="J144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44" s="13"/>
      <c r="L144" s="7"/>
      <c r="M144" s="41"/>
      <c r="N144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44" s="26" t="str">
        <f>IF(
   T_Channel[[#This Row],[ProviderName]]="",
   "",
   COUNTIF($N$12:$N$9982,T_Channel[[#This Row],[ProviderName]])
)</f>
        <v/>
      </c>
      <c r="P144" s="26" t="str">
        <f>IF(
   T_Channel[[#This Row],[Check]]&lt;&gt;"OK",
   "",
   IF(
      T_Channel[[#This Row],[Query]]="",
      "Empty",
      "Defined"
   )
)</f>
        <v/>
      </c>
      <c r="Q144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44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44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4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44" s="20" t="str">
        <f>IF(
   T_Channel[[#This Row],[Check]]&lt;&gt;"OK",
   "",
   T_Channel[[#This Row],[ChannelSymbol]] &amp; ".evtx"
)</f>
        <v/>
      </c>
      <c r="V144" s="20" t="str">
        <f>IF(
   T_Channel[[#This Row],[Check]]&lt;&gt;"OK",
   "",
   T_Channel[[#This Row],[LogFolder]] &amp; "\" &amp; T_Channel[[#This Row],[LogFile]]
)</f>
        <v/>
      </c>
      <c r="W144" s="20" t="str">
        <f>IF(
   T_Channel[[#This Row],[Safekeeping of logs]]="",
   "",
   VLOOKUP(T_Channel[[#This Row],[Safekeeping of logs]],T_List_LogMode[],2,FALSE)
)</f>
        <v/>
      </c>
      <c r="X144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45" spans="2:24" x14ac:dyDescent="0.45">
      <c r="B145" s="7"/>
      <c r="C145" s="5"/>
      <c r="D145" s="5"/>
      <c r="E145" s="5"/>
      <c r="F145" s="6"/>
      <c r="G145" s="6"/>
      <c r="H145" s="6"/>
      <c r="I145" s="6"/>
      <c r="J145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45" s="13"/>
      <c r="L145" s="7"/>
      <c r="M145" s="41"/>
      <c r="N145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45" s="26" t="str">
        <f>IF(
   T_Channel[[#This Row],[ProviderName]]="",
   "",
   COUNTIF($N$12:$N$9982,T_Channel[[#This Row],[ProviderName]])
)</f>
        <v/>
      </c>
      <c r="P145" s="26" t="str">
        <f>IF(
   T_Channel[[#This Row],[Check]]&lt;&gt;"OK",
   "",
   IF(
      T_Channel[[#This Row],[Query]]="",
      "Empty",
      "Defined"
   )
)</f>
        <v/>
      </c>
      <c r="Q145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45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45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4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45" s="20" t="str">
        <f>IF(
   T_Channel[[#This Row],[Check]]&lt;&gt;"OK",
   "",
   T_Channel[[#This Row],[ChannelSymbol]] &amp; ".evtx"
)</f>
        <v/>
      </c>
      <c r="V145" s="20" t="str">
        <f>IF(
   T_Channel[[#This Row],[Check]]&lt;&gt;"OK",
   "",
   T_Channel[[#This Row],[LogFolder]] &amp; "\" &amp; T_Channel[[#This Row],[LogFile]]
)</f>
        <v/>
      </c>
      <c r="W145" s="20" t="str">
        <f>IF(
   T_Channel[[#This Row],[Safekeeping of logs]]="",
   "",
   VLOOKUP(T_Channel[[#This Row],[Safekeeping of logs]],T_List_LogMode[],2,FALSE)
)</f>
        <v/>
      </c>
      <c r="X145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46" spans="2:24" x14ac:dyDescent="0.45">
      <c r="B146" s="7"/>
      <c r="C146" s="5"/>
      <c r="D146" s="5"/>
      <c r="E146" s="5"/>
      <c r="F146" s="6"/>
      <c r="G146" s="6"/>
      <c r="H146" s="6"/>
      <c r="I146" s="6"/>
      <c r="J146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46" s="13"/>
      <c r="L146" s="7"/>
      <c r="M146" s="41"/>
      <c r="N146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46" s="26" t="str">
        <f>IF(
   T_Channel[[#This Row],[ProviderName]]="",
   "",
   COUNTIF($N$12:$N$9982,T_Channel[[#This Row],[ProviderName]])
)</f>
        <v/>
      </c>
      <c r="P146" s="26" t="str">
        <f>IF(
   T_Channel[[#This Row],[Check]]&lt;&gt;"OK",
   "",
   IF(
      T_Channel[[#This Row],[Query]]="",
      "Empty",
      "Defined"
   )
)</f>
        <v/>
      </c>
      <c r="Q146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46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46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4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46" s="20" t="str">
        <f>IF(
   T_Channel[[#This Row],[Check]]&lt;&gt;"OK",
   "",
   T_Channel[[#This Row],[ChannelSymbol]] &amp; ".evtx"
)</f>
        <v/>
      </c>
      <c r="V146" s="20" t="str">
        <f>IF(
   T_Channel[[#This Row],[Check]]&lt;&gt;"OK",
   "",
   T_Channel[[#This Row],[LogFolder]] &amp; "\" &amp; T_Channel[[#This Row],[LogFile]]
)</f>
        <v/>
      </c>
      <c r="W146" s="20" t="str">
        <f>IF(
   T_Channel[[#This Row],[Safekeeping of logs]]="",
   "",
   VLOOKUP(T_Channel[[#This Row],[Safekeeping of logs]],T_List_LogMode[],2,FALSE)
)</f>
        <v/>
      </c>
      <c r="X146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47" spans="2:24" x14ac:dyDescent="0.45">
      <c r="B147" s="7"/>
      <c r="C147" s="5"/>
      <c r="D147" s="5"/>
      <c r="E147" s="5"/>
      <c r="F147" s="6"/>
      <c r="G147" s="6"/>
      <c r="H147" s="6"/>
      <c r="I147" s="6"/>
      <c r="J147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47" s="13"/>
      <c r="L147" s="7"/>
      <c r="M147" s="41"/>
      <c r="N147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47" s="26" t="str">
        <f>IF(
   T_Channel[[#This Row],[ProviderName]]="",
   "",
   COUNTIF($N$12:$N$9982,T_Channel[[#This Row],[ProviderName]])
)</f>
        <v/>
      </c>
      <c r="P147" s="26" t="str">
        <f>IF(
   T_Channel[[#This Row],[Check]]&lt;&gt;"OK",
   "",
   IF(
      T_Channel[[#This Row],[Query]]="",
      "Empty",
      "Defined"
   )
)</f>
        <v/>
      </c>
      <c r="Q147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47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47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4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47" s="20" t="str">
        <f>IF(
   T_Channel[[#This Row],[Check]]&lt;&gt;"OK",
   "",
   T_Channel[[#This Row],[ChannelSymbol]] &amp; ".evtx"
)</f>
        <v/>
      </c>
      <c r="V147" s="20" t="str">
        <f>IF(
   T_Channel[[#This Row],[Check]]&lt;&gt;"OK",
   "",
   T_Channel[[#This Row],[LogFolder]] &amp; "\" &amp; T_Channel[[#This Row],[LogFile]]
)</f>
        <v/>
      </c>
      <c r="W147" s="20" t="str">
        <f>IF(
   T_Channel[[#This Row],[Safekeeping of logs]]="",
   "",
   VLOOKUP(T_Channel[[#This Row],[Safekeeping of logs]],T_List_LogMode[],2,FALSE)
)</f>
        <v/>
      </c>
      <c r="X147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48" spans="2:24" x14ac:dyDescent="0.45">
      <c r="B148" s="7"/>
      <c r="C148" s="5"/>
      <c r="D148" s="5"/>
      <c r="E148" s="5"/>
      <c r="F148" s="6"/>
      <c r="G148" s="6"/>
      <c r="H148" s="6"/>
      <c r="I148" s="6"/>
      <c r="J148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48" s="13"/>
      <c r="L148" s="7"/>
      <c r="M148" s="41"/>
      <c r="N148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48" s="26" t="str">
        <f>IF(
   T_Channel[[#This Row],[ProviderName]]="",
   "",
   COUNTIF($N$12:$N$9982,T_Channel[[#This Row],[ProviderName]])
)</f>
        <v/>
      </c>
      <c r="P148" s="26" t="str">
        <f>IF(
   T_Channel[[#This Row],[Check]]&lt;&gt;"OK",
   "",
   IF(
      T_Channel[[#This Row],[Query]]="",
      "Empty",
      "Defined"
   )
)</f>
        <v/>
      </c>
      <c r="Q148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48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48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4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48" s="20" t="str">
        <f>IF(
   T_Channel[[#This Row],[Check]]&lt;&gt;"OK",
   "",
   T_Channel[[#This Row],[ChannelSymbol]] &amp; ".evtx"
)</f>
        <v/>
      </c>
      <c r="V148" s="20" t="str">
        <f>IF(
   T_Channel[[#This Row],[Check]]&lt;&gt;"OK",
   "",
   T_Channel[[#This Row],[LogFolder]] &amp; "\" &amp; T_Channel[[#This Row],[LogFile]]
)</f>
        <v/>
      </c>
      <c r="W148" s="20" t="str">
        <f>IF(
   T_Channel[[#This Row],[Safekeeping of logs]]="",
   "",
   VLOOKUP(T_Channel[[#This Row],[Safekeeping of logs]],T_List_LogMode[],2,FALSE)
)</f>
        <v/>
      </c>
      <c r="X148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49" spans="2:24" x14ac:dyDescent="0.45">
      <c r="B149" s="7"/>
      <c r="C149" s="5"/>
      <c r="D149" s="5"/>
      <c r="E149" s="5"/>
      <c r="F149" s="6"/>
      <c r="G149" s="6"/>
      <c r="H149" s="6"/>
      <c r="I149" s="6"/>
      <c r="J149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49" s="13"/>
      <c r="L149" s="7"/>
      <c r="M149" s="41"/>
      <c r="N149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49" s="26" t="str">
        <f>IF(
   T_Channel[[#This Row],[ProviderName]]="",
   "",
   COUNTIF($N$12:$N$9982,T_Channel[[#This Row],[ProviderName]])
)</f>
        <v/>
      </c>
      <c r="P149" s="26" t="str">
        <f>IF(
   T_Channel[[#This Row],[Check]]&lt;&gt;"OK",
   "",
   IF(
      T_Channel[[#This Row],[Query]]="",
      "Empty",
      "Defined"
   )
)</f>
        <v/>
      </c>
      <c r="Q149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49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49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4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49" s="20" t="str">
        <f>IF(
   T_Channel[[#This Row],[Check]]&lt;&gt;"OK",
   "",
   T_Channel[[#This Row],[ChannelSymbol]] &amp; ".evtx"
)</f>
        <v/>
      </c>
      <c r="V149" s="20" t="str">
        <f>IF(
   T_Channel[[#This Row],[Check]]&lt;&gt;"OK",
   "",
   T_Channel[[#This Row],[LogFolder]] &amp; "\" &amp; T_Channel[[#This Row],[LogFile]]
)</f>
        <v/>
      </c>
      <c r="W149" s="20" t="str">
        <f>IF(
   T_Channel[[#This Row],[Safekeeping of logs]]="",
   "",
   VLOOKUP(T_Channel[[#This Row],[Safekeeping of logs]],T_List_LogMode[],2,FALSE)
)</f>
        <v/>
      </c>
      <c r="X149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50" spans="2:24" x14ac:dyDescent="0.45">
      <c r="B150" s="7"/>
      <c r="C150" s="5"/>
      <c r="D150" s="5"/>
      <c r="E150" s="5"/>
      <c r="F150" s="6"/>
      <c r="G150" s="6"/>
      <c r="H150" s="6"/>
      <c r="I150" s="6"/>
      <c r="J150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50" s="13"/>
      <c r="L150" s="7"/>
      <c r="M150" s="41"/>
      <c r="N150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50" s="26" t="str">
        <f>IF(
   T_Channel[[#This Row],[ProviderName]]="",
   "",
   COUNTIF($N$12:$N$9982,T_Channel[[#This Row],[ProviderName]])
)</f>
        <v/>
      </c>
      <c r="P150" s="26" t="str">
        <f>IF(
   T_Channel[[#This Row],[Check]]&lt;&gt;"OK",
   "",
   IF(
      T_Channel[[#This Row],[Query]]="",
      "Empty",
      "Defined"
   )
)</f>
        <v/>
      </c>
      <c r="Q150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50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50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5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50" s="20" t="str">
        <f>IF(
   T_Channel[[#This Row],[Check]]&lt;&gt;"OK",
   "",
   T_Channel[[#This Row],[ChannelSymbol]] &amp; ".evtx"
)</f>
        <v/>
      </c>
      <c r="V150" s="20" t="str">
        <f>IF(
   T_Channel[[#This Row],[Check]]&lt;&gt;"OK",
   "",
   T_Channel[[#This Row],[LogFolder]] &amp; "\" &amp; T_Channel[[#This Row],[LogFile]]
)</f>
        <v/>
      </c>
      <c r="W150" s="20" t="str">
        <f>IF(
   T_Channel[[#This Row],[Safekeeping of logs]]="",
   "",
   VLOOKUP(T_Channel[[#This Row],[Safekeeping of logs]],T_List_LogMode[],2,FALSE)
)</f>
        <v/>
      </c>
      <c r="X150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51" spans="2:24" x14ac:dyDescent="0.45">
      <c r="B151" s="7"/>
      <c r="C151" s="5"/>
      <c r="D151" s="5"/>
      <c r="E151" s="5"/>
      <c r="F151" s="6"/>
      <c r="G151" s="6"/>
      <c r="H151" s="6"/>
      <c r="I151" s="6"/>
      <c r="J151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51" s="13"/>
      <c r="L151" s="7"/>
      <c r="M151" s="41"/>
      <c r="N151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51" s="26" t="str">
        <f>IF(
   T_Channel[[#This Row],[ProviderName]]="",
   "",
   COUNTIF($N$12:$N$9982,T_Channel[[#This Row],[ProviderName]])
)</f>
        <v/>
      </c>
      <c r="P151" s="26" t="str">
        <f>IF(
   T_Channel[[#This Row],[Check]]&lt;&gt;"OK",
   "",
   IF(
      T_Channel[[#This Row],[Query]]="",
      "Empty",
      "Defined"
   )
)</f>
        <v/>
      </c>
      <c r="Q151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51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51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5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51" s="20" t="str">
        <f>IF(
   T_Channel[[#This Row],[Check]]&lt;&gt;"OK",
   "",
   T_Channel[[#This Row],[ChannelSymbol]] &amp; ".evtx"
)</f>
        <v/>
      </c>
      <c r="V151" s="20" t="str">
        <f>IF(
   T_Channel[[#This Row],[Check]]&lt;&gt;"OK",
   "",
   T_Channel[[#This Row],[LogFolder]] &amp; "\" &amp; T_Channel[[#This Row],[LogFile]]
)</f>
        <v/>
      </c>
      <c r="W151" s="20" t="str">
        <f>IF(
   T_Channel[[#This Row],[Safekeeping of logs]]="",
   "",
   VLOOKUP(T_Channel[[#This Row],[Safekeeping of logs]],T_List_LogMode[],2,FALSE)
)</f>
        <v/>
      </c>
      <c r="X151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52" spans="2:24" x14ac:dyDescent="0.45">
      <c r="B152" s="7"/>
      <c r="C152" s="5"/>
      <c r="D152" s="5"/>
      <c r="E152" s="5"/>
      <c r="F152" s="6"/>
      <c r="G152" s="6"/>
      <c r="H152" s="6"/>
      <c r="I152" s="6"/>
      <c r="J152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52" s="13"/>
      <c r="L152" s="7"/>
      <c r="M152" s="41"/>
      <c r="N152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52" s="26" t="str">
        <f>IF(
   T_Channel[[#This Row],[ProviderName]]="",
   "",
   COUNTIF($N$12:$N$9982,T_Channel[[#This Row],[ProviderName]])
)</f>
        <v/>
      </c>
      <c r="P152" s="26" t="str">
        <f>IF(
   T_Channel[[#This Row],[Check]]&lt;&gt;"OK",
   "",
   IF(
      T_Channel[[#This Row],[Query]]="",
      "Empty",
      "Defined"
   )
)</f>
        <v/>
      </c>
      <c r="Q152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52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52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5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52" s="20" t="str">
        <f>IF(
   T_Channel[[#This Row],[Check]]&lt;&gt;"OK",
   "",
   T_Channel[[#This Row],[ChannelSymbol]] &amp; ".evtx"
)</f>
        <v/>
      </c>
      <c r="V152" s="20" t="str">
        <f>IF(
   T_Channel[[#This Row],[Check]]&lt;&gt;"OK",
   "",
   T_Channel[[#This Row],[LogFolder]] &amp; "\" &amp; T_Channel[[#This Row],[LogFile]]
)</f>
        <v/>
      </c>
      <c r="W152" s="20" t="str">
        <f>IF(
   T_Channel[[#This Row],[Safekeeping of logs]]="",
   "",
   VLOOKUP(T_Channel[[#This Row],[Safekeeping of logs]],T_List_LogMode[],2,FALSE)
)</f>
        <v/>
      </c>
      <c r="X152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53" spans="2:24" x14ac:dyDescent="0.45">
      <c r="B153" s="7"/>
      <c r="C153" s="5"/>
      <c r="D153" s="5"/>
      <c r="E153" s="5"/>
      <c r="F153" s="6"/>
      <c r="G153" s="6"/>
      <c r="H153" s="6"/>
      <c r="I153" s="6"/>
      <c r="J153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53" s="13"/>
      <c r="L153" s="7"/>
      <c r="M153" s="41"/>
      <c r="N153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53" s="26" t="str">
        <f>IF(
   T_Channel[[#This Row],[ProviderName]]="",
   "",
   COUNTIF($N$12:$N$9982,T_Channel[[#This Row],[ProviderName]])
)</f>
        <v/>
      </c>
      <c r="P153" s="26" t="str">
        <f>IF(
   T_Channel[[#This Row],[Check]]&lt;&gt;"OK",
   "",
   IF(
      T_Channel[[#This Row],[Query]]="",
      "Empty",
      "Defined"
   )
)</f>
        <v/>
      </c>
      <c r="Q153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53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53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5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53" s="20" t="str">
        <f>IF(
   T_Channel[[#This Row],[Check]]&lt;&gt;"OK",
   "",
   T_Channel[[#This Row],[ChannelSymbol]] &amp; ".evtx"
)</f>
        <v/>
      </c>
      <c r="V153" s="20" t="str">
        <f>IF(
   T_Channel[[#This Row],[Check]]&lt;&gt;"OK",
   "",
   T_Channel[[#This Row],[LogFolder]] &amp; "\" &amp; T_Channel[[#This Row],[LogFile]]
)</f>
        <v/>
      </c>
      <c r="W153" s="20" t="str">
        <f>IF(
   T_Channel[[#This Row],[Safekeeping of logs]]="",
   "",
   VLOOKUP(T_Channel[[#This Row],[Safekeeping of logs]],T_List_LogMode[],2,FALSE)
)</f>
        <v/>
      </c>
      <c r="X153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54" spans="2:24" x14ac:dyDescent="0.45">
      <c r="B154" s="7"/>
      <c r="C154" s="5"/>
      <c r="D154" s="5"/>
      <c r="E154" s="5"/>
      <c r="F154" s="6"/>
      <c r="G154" s="6"/>
      <c r="H154" s="6"/>
      <c r="I154" s="6"/>
      <c r="J154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54" s="13"/>
      <c r="L154" s="7"/>
      <c r="M154" s="41"/>
      <c r="N154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54" s="26" t="str">
        <f>IF(
   T_Channel[[#This Row],[ProviderName]]="",
   "",
   COUNTIF($N$12:$N$9982,T_Channel[[#This Row],[ProviderName]])
)</f>
        <v/>
      </c>
      <c r="P154" s="26" t="str">
        <f>IF(
   T_Channel[[#This Row],[Check]]&lt;&gt;"OK",
   "",
   IF(
      T_Channel[[#This Row],[Query]]="",
      "Empty",
      "Defined"
   )
)</f>
        <v/>
      </c>
      <c r="Q154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54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54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5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54" s="20" t="str">
        <f>IF(
   T_Channel[[#This Row],[Check]]&lt;&gt;"OK",
   "",
   T_Channel[[#This Row],[ChannelSymbol]] &amp; ".evtx"
)</f>
        <v/>
      </c>
      <c r="V154" s="20" t="str">
        <f>IF(
   T_Channel[[#This Row],[Check]]&lt;&gt;"OK",
   "",
   T_Channel[[#This Row],[LogFolder]] &amp; "\" &amp; T_Channel[[#This Row],[LogFile]]
)</f>
        <v/>
      </c>
      <c r="W154" s="20" t="str">
        <f>IF(
   T_Channel[[#This Row],[Safekeeping of logs]]="",
   "",
   VLOOKUP(T_Channel[[#This Row],[Safekeeping of logs]],T_List_LogMode[],2,FALSE)
)</f>
        <v/>
      </c>
      <c r="X154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55" spans="2:24" x14ac:dyDescent="0.45">
      <c r="B155" s="7"/>
      <c r="C155" s="5"/>
      <c r="D155" s="5"/>
      <c r="E155" s="5"/>
      <c r="F155" s="6"/>
      <c r="G155" s="6"/>
      <c r="H155" s="6"/>
      <c r="I155" s="6"/>
      <c r="J155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55" s="13"/>
      <c r="L155" s="7"/>
      <c r="M155" s="41"/>
      <c r="N155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55" s="26" t="str">
        <f>IF(
   T_Channel[[#This Row],[ProviderName]]="",
   "",
   COUNTIF($N$12:$N$9982,T_Channel[[#This Row],[ProviderName]])
)</f>
        <v/>
      </c>
      <c r="P155" s="26" t="str">
        <f>IF(
   T_Channel[[#This Row],[Check]]&lt;&gt;"OK",
   "",
   IF(
      T_Channel[[#This Row],[Query]]="",
      "Empty",
      "Defined"
   )
)</f>
        <v/>
      </c>
      <c r="Q155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55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55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5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55" s="20" t="str">
        <f>IF(
   T_Channel[[#This Row],[Check]]&lt;&gt;"OK",
   "",
   T_Channel[[#This Row],[ChannelSymbol]] &amp; ".evtx"
)</f>
        <v/>
      </c>
      <c r="V155" s="20" t="str">
        <f>IF(
   T_Channel[[#This Row],[Check]]&lt;&gt;"OK",
   "",
   T_Channel[[#This Row],[LogFolder]] &amp; "\" &amp; T_Channel[[#This Row],[LogFile]]
)</f>
        <v/>
      </c>
      <c r="W155" s="20" t="str">
        <f>IF(
   T_Channel[[#This Row],[Safekeeping of logs]]="",
   "",
   VLOOKUP(T_Channel[[#This Row],[Safekeeping of logs]],T_List_LogMode[],2,FALSE)
)</f>
        <v/>
      </c>
      <c r="X155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56" spans="2:24" x14ac:dyDescent="0.45">
      <c r="B156" s="7"/>
      <c r="C156" s="5"/>
      <c r="D156" s="5"/>
      <c r="E156" s="5"/>
      <c r="F156" s="6"/>
      <c r="G156" s="6"/>
      <c r="H156" s="6"/>
      <c r="I156" s="6"/>
      <c r="J156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56" s="13"/>
      <c r="L156" s="7"/>
      <c r="M156" s="41"/>
      <c r="N156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56" s="26" t="str">
        <f>IF(
   T_Channel[[#This Row],[ProviderName]]="",
   "",
   COUNTIF($N$12:$N$9982,T_Channel[[#This Row],[ProviderName]])
)</f>
        <v/>
      </c>
      <c r="P156" s="26" t="str">
        <f>IF(
   T_Channel[[#This Row],[Check]]&lt;&gt;"OK",
   "",
   IF(
      T_Channel[[#This Row],[Query]]="",
      "Empty",
      "Defined"
   )
)</f>
        <v/>
      </c>
      <c r="Q156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56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56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5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56" s="20" t="str">
        <f>IF(
   T_Channel[[#This Row],[Check]]&lt;&gt;"OK",
   "",
   T_Channel[[#This Row],[ChannelSymbol]] &amp; ".evtx"
)</f>
        <v/>
      </c>
      <c r="V156" s="20" t="str">
        <f>IF(
   T_Channel[[#This Row],[Check]]&lt;&gt;"OK",
   "",
   T_Channel[[#This Row],[LogFolder]] &amp; "\" &amp; T_Channel[[#This Row],[LogFile]]
)</f>
        <v/>
      </c>
      <c r="W156" s="20" t="str">
        <f>IF(
   T_Channel[[#This Row],[Safekeeping of logs]]="",
   "",
   VLOOKUP(T_Channel[[#This Row],[Safekeeping of logs]],T_List_LogMode[],2,FALSE)
)</f>
        <v/>
      </c>
      <c r="X156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57" spans="2:24" x14ac:dyDescent="0.45">
      <c r="B157" s="7"/>
      <c r="C157" s="5"/>
      <c r="D157" s="5"/>
      <c r="E157" s="5"/>
      <c r="F157" s="6"/>
      <c r="G157" s="6"/>
      <c r="H157" s="6"/>
      <c r="I157" s="6"/>
      <c r="J157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57" s="13"/>
      <c r="L157" s="7"/>
      <c r="M157" s="41"/>
      <c r="N157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57" s="26" t="str">
        <f>IF(
   T_Channel[[#This Row],[ProviderName]]="",
   "",
   COUNTIF($N$12:$N$9982,T_Channel[[#This Row],[ProviderName]])
)</f>
        <v/>
      </c>
      <c r="P157" s="26" t="str">
        <f>IF(
   T_Channel[[#This Row],[Check]]&lt;&gt;"OK",
   "",
   IF(
      T_Channel[[#This Row],[Query]]="",
      "Empty",
      "Defined"
   )
)</f>
        <v/>
      </c>
      <c r="Q157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57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57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5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57" s="20" t="str">
        <f>IF(
   T_Channel[[#This Row],[Check]]&lt;&gt;"OK",
   "",
   T_Channel[[#This Row],[ChannelSymbol]] &amp; ".evtx"
)</f>
        <v/>
      </c>
      <c r="V157" s="20" t="str">
        <f>IF(
   T_Channel[[#This Row],[Check]]&lt;&gt;"OK",
   "",
   T_Channel[[#This Row],[LogFolder]] &amp; "\" &amp; T_Channel[[#This Row],[LogFile]]
)</f>
        <v/>
      </c>
      <c r="W157" s="20" t="str">
        <f>IF(
   T_Channel[[#This Row],[Safekeeping of logs]]="",
   "",
   VLOOKUP(T_Channel[[#This Row],[Safekeeping of logs]],T_List_LogMode[],2,FALSE)
)</f>
        <v/>
      </c>
      <c r="X157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58" spans="2:24" x14ac:dyDescent="0.45">
      <c r="B158" s="7"/>
      <c r="C158" s="5"/>
      <c r="D158" s="5"/>
      <c r="E158" s="5"/>
      <c r="F158" s="6"/>
      <c r="G158" s="6"/>
      <c r="H158" s="6"/>
      <c r="I158" s="6"/>
      <c r="J158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58" s="13"/>
      <c r="L158" s="7"/>
      <c r="M158" s="41"/>
      <c r="N158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58" s="26" t="str">
        <f>IF(
   T_Channel[[#This Row],[ProviderName]]="",
   "",
   COUNTIF($N$12:$N$9982,T_Channel[[#This Row],[ProviderName]])
)</f>
        <v/>
      </c>
      <c r="P158" s="26" t="str">
        <f>IF(
   T_Channel[[#This Row],[Check]]&lt;&gt;"OK",
   "",
   IF(
      T_Channel[[#This Row],[Query]]="",
      "Empty",
      "Defined"
   )
)</f>
        <v/>
      </c>
      <c r="Q158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58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58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5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58" s="20" t="str">
        <f>IF(
   T_Channel[[#This Row],[Check]]&lt;&gt;"OK",
   "",
   T_Channel[[#This Row],[ChannelSymbol]] &amp; ".evtx"
)</f>
        <v/>
      </c>
      <c r="V158" s="20" t="str">
        <f>IF(
   T_Channel[[#This Row],[Check]]&lt;&gt;"OK",
   "",
   T_Channel[[#This Row],[LogFolder]] &amp; "\" &amp; T_Channel[[#This Row],[LogFile]]
)</f>
        <v/>
      </c>
      <c r="W158" s="20" t="str">
        <f>IF(
   T_Channel[[#This Row],[Safekeeping of logs]]="",
   "",
   VLOOKUP(T_Channel[[#This Row],[Safekeeping of logs]],T_List_LogMode[],2,FALSE)
)</f>
        <v/>
      </c>
      <c r="X158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59" spans="2:24" x14ac:dyDescent="0.45">
      <c r="B159" s="7"/>
      <c r="C159" s="5"/>
      <c r="D159" s="5"/>
      <c r="E159" s="5"/>
      <c r="F159" s="6"/>
      <c r="G159" s="6"/>
      <c r="H159" s="6"/>
      <c r="I159" s="6"/>
      <c r="J159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59" s="13"/>
      <c r="L159" s="7"/>
      <c r="M159" s="41"/>
      <c r="N159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59" s="26" t="str">
        <f>IF(
   T_Channel[[#This Row],[ProviderName]]="",
   "",
   COUNTIF($N$12:$N$9982,T_Channel[[#This Row],[ProviderName]])
)</f>
        <v/>
      </c>
      <c r="P159" s="26" t="str">
        <f>IF(
   T_Channel[[#This Row],[Check]]&lt;&gt;"OK",
   "",
   IF(
      T_Channel[[#This Row],[Query]]="",
      "Empty",
      "Defined"
   )
)</f>
        <v/>
      </c>
      <c r="Q159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59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59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5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59" s="20" t="str">
        <f>IF(
   T_Channel[[#This Row],[Check]]&lt;&gt;"OK",
   "",
   T_Channel[[#This Row],[ChannelSymbol]] &amp; ".evtx"
)</f>
        <v/>
      </c>
      <c r="V159" s="20" t="str">
        <f>IF(
   T_Channel[[#This Row],[Check]]&lt;&gt;"OK",
   "",
   T_Channel[[#This Row],[LogFolder]] &amp; "\" &amp; T_Channel[[#This Row],[LogFile]]
)</f>
        <v/>
      </c>
      <c r="W159" s="20" t="str">
        <f>IF(
   T_Channel[[#This Row],[Safekeeping of logs]]="",
   "",
   VLOOKUP(T_Channel[[#This Row],[Safekeeping of logs]],T_List_LogMode[],2,FALSE)
)</f>
        <v/>
      </c>
      <c r="X159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60" spans="2:24" x14ac:dyDescent="0.45">
      <c r="B160" s="7"/>
      <c r="C160" s="5"/>
      <c r="D160" s="5"/>
      <c r="E160" s="5"/>
      <c r="F160" s="6"/>
      <c r="G160" s="6"/>
      <c r="H160" s="6"/>
      <c r="I160" s="6"/>
      <c r="J160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60" s="13"/>
      <c r="L160" s="7"/>
      <c r="M160" s="41"/>
      <c r="N160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60" s="26" t="str">
        <f>IF(
   T_Channel[[#This Row],[ProviderName]]="",
   "",
   COUNTIF($N$12:$N$9982,T_Channel[[#This Row],[ProviderName]])
)</f>
        <v/>
      </c>
      <c r="P160" s="26" t="str">
        <f>IF(
   T_Channel[[#This Row],[Check]]&lt;&gt;"OK",
   "",
   IF(
      T_Channel[[#This Row],[Query]]="",
      "Empty",
      "Defined"
   )
)</f>
        <v/>
      </c>
      <c r="Q160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60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60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6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60" s="20" t="str">
        <f>IF(
   T_Channel[[#This Row],[Check]]&lt;&gt;"OK",
   "",
   T_Channel[[#This Row],[ChannelSymbol]] &amp; ".evtx"
)</f>
        <v/>
      </c>
      <c r="V160" s="20" t="str">
        <f>IF(
   T_Channel[[#This Row],[Check]]&lt;&gt;"OK",
   "",
   T_Channel[[#This Row],[LogFolder]] &amp; "\" &amp; T_Channel[[#This Row],[LogFile]]
)</f>
        <v/>
      </c>
      <c r="W160" s="20" t="str">
        <f>IF(
   T_Channel[[#This Row],[Safekeeping of logs]]="",
   "",
   VLOOKUP(T_Channel[[#This Row],[Safekeeping of logs]],T_List_LogMode[],2,FALSE)
)</f>
        <v/>
      </c>
      <c r="X160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61" spans="2:24" x14ac:dyDescent="0.45">
      <c r="B161" s="7"/>
      <c r="C161" s="5"/>
      <c r="D161" s="5"/>
      <c r="E161" s="5"/>
      <c r="F161" s="6"/>
      <c r="G161" s="6"/>
      <c r="H161" s="6"/>
      <c r="I161" s="6"/>
      <c r="J161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61" s="13"/>
      <c r="L161" s="7"/>
      <c r="M161" s="41"/>
      <c r="N161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61" s="26" t="str">
        <f>IF(
   T_Channel[[#This Row],[ProviderName]]="",
   "",
   COUNTIF($N$12:$N$9982,T_Channel[[#This Row],[ProviderName]])
)</f>
        <v/>
      </c>
      <c r="P161" s="26" t="str">
        <f>IF(
   T_Channel[[#This Row],[Check]]&lt;&gt;"OK",
   "",
   IF(
      T_Channel[[#This Row],[Query]]="",
      "Empty",
      "Defined"
   )
)</f>
        <v/>
      </c>
      <c r="Q161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61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61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6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61" s="20" t="str">
        <f>IF(
   T_Channel[[#This Row],[Check]]&lt;&gt;"OK",
   "",
   T_Channel[[#This Row],[ChannelSymbol]] &amp; ".evtx"
)</f>
        <v/>
      </c>
      <c r="V161" s="20" t="str">
        <f>IF(
   T_Channel[[#This Row],[Check]]&lt;&gt;"OK",
   "",
   T_Channel[[#This Row],[LogFolder]] &amp; "\" &amp; T_Channel[[#This Row],[LogFile]]
)</f>
        <v/>
      </c>
      <c r="W161" s="20" t="str">
        <f>IF(
   T_Channel[[#This Row],[Safekeeping of logs]]="",
   "",
   VLOOKUP(T_Channel[[#This Row],[Safekeeping of logs]],T_List_LogMode[],2,FALSE)
)</f>
        <v/>
      </c>
      <c r="X161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62" spans="2:24" x14ac:dyDescent="0.45">
      <c r="B162" s="7"/>
      <c r="C162" s="5"/>
      <c r="D162" s="5"/>
      <c r="E162" s="5"/>
      <c r="F162" s="6"/>
      <c r="G162" s="6"/>
      <c r="H162" s="6"/>
      <c r="I162" s="6"/>
      <c r="J162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62" s="13"/>
      <c r="L162" s="7"/>
      <c r="M162" s="41"/>
      <c r="N162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62" s="26" t="str">
        <f>IF(
   T_Channel[[#This Row],[ProviderName]]="",
   "",
   COUNTIF($N$12:$N$9982,T_Channel[[#This Row],[ProviderName]])
)</f>
        <v/>
      </c>
      <c r="P162" s="26" t="str">
        <f>IF(
   T_Channel[[#This Row],[Check]]&lt;&gt;"OK",
   "",
   IF(
      T_Channel[[#This Row],[Query]]="",
      "Empty",
      "Defined"
   )
)</f>
        <v/>
      </c>
      <c r="Q162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62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62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6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62" s="20" t="str">
        <f>IF(
   T_Channel[[#This Row],[Check]]&lt;&gt;"OK",
   "",
   T_Channel[[#This Row],[ChannelSymbol]] &amp; ".evtx"
)</f>
        <v/>
      </c>
      <c r="V162" s="20" t="str">
        <f>IF(
   T_Channel[[#This Row],[Check]]&lt;&gt;"OK",
   "",
   T_Channel[[#This Row],[LogFolder]] &amp; "\" &amp; T_Channel[[#This Row],[LogFile]]
)</f>
        <v/>
      </c>
      <c r="W162" s="20" t="str">
        <f>IF(
   T_Channel[[#This Row],[Safekeeping of logs]]="",
   "",
   VLOOKUP(T_Channel[[#This Row],[Safekeeping of logs]],T_List_LogMode[],2,FALSE)
)</f>
        <v/>
      </c>
      <c r="X162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63" spans="2:24" x14ac:dyDescent="0.45">
      <c r="B163" s="7"/>
      <c r="C163" s="5"/>
      <c r="D163" s="5"/>
      <c r="E163" s="5"/>
      <c r="F163" s="6"/>
      <c r="G163" s="6"/>
      <c r="H163" s="6"/>
      <c r="I163" s="6"/>
      <c r="J163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63" s="13"/>
      <c r="L163" s="7"/>
      <c r="M163" s="41"/>
      <c r="N163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63" s="26" t="str">
        <f>IF(
   T_Channel[[#This Row],[ProviderName]]="",
   "",
   COUNTIF($N$12:$N$9982,T_Channel[[#This Row],[ProviderName]])
)</f>
        <v/>
      </c>
      <c r="P163" s="26" t="str">
        <f>IF(
   T_Channel[[#This Row],[Check]]&lt;&gt;"OK",
   "",
   IF(
      T_Channel[[#This Row],[Query]]="",
      "Empty",
      "Defined"
   )
)</f>
        <v/>
      </c>
      <c r="Q163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63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63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6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63" s="20" t="str">
        <f>IF(
   T_Channel[[#This Row],[Check]]&lt;&gt;"OK",
   "",
   T_Channel[[#This Row],[ChannelSymbol]] &amp; ".evtx"
)</f>
        <v/>
      </c>
      <c r="V163" s="20" t="str">
        <f>IF(
   T_Channel[[#This Row],[Check]]&lt;&gt;"OK",
   "",
   T_Channel[[#This Row],[LogFolder]] &amp; "\" &amp; T_Channel[[#This Row],[LogFile]]
)</f>
        <v/>
      </c>
      <c r="W163" s="20" t="str">
        <f>IF(
   T_Channel[[#This Row],[Safekeeping of logs]]="",
   "",
   VLOOKUP(T_Channel[[#This Row],[Safekeeping of logs]],T_List_LogMode[],2,FALSE)
)</f>
        <v/>
      </c>
      <c r="X163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64" spans="2:24" x14ac:dyDescent="0.45">
      <c r="B164" s="7"/>
      <c r="C164" s="5"/>
      <c r="D164" s="5"/>
      <c r="E164" s="5"/>
      <c r="F164" s="6"/>
      <c r="G164" s="6"/>
      <c r="H164" s="6"/>
      <c r="I164" s="6"/>
      <c r="J164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64" s="13"/>
      <c r="L164" s="7"/>
      <c r="M164" s="41"/>
      <c r="N164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64" s="26" t="str">
        <f>IF(
   T_Channel[[#This Row],[ProviderName]]="",
   "",
   COUNTIF($N$12:$N$9982,T_Channel[[#This Row],[ProviderName]])
)</f>
        <v/>
      </c>
      <c r="P164" s="26" t="str">
        <f>IF(
   T_Channel[[#This Row],[Check]]&lt;&gt;"OK",
   "",
   IF(
      T_Channel[[#This Row],[Query]]="",
      "Empty",
      "Defined"
   )
)</f>
        <v/>
      </c>
      <c r="Q164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64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64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6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64" s="20" t="str">
        <f>IF(
   T_Channel[[#This Row],[Check]]&lt;&gt;"OK",
   "",
   T_Channel[[#This Row],[ChannelSymbol]] &amp; ".evtx"
)</f>
        <v/>
      </c>
      <c r="V164" s="20" t="str">
        <f>IF(
   T_Channel[[#This Row],[Check]]&lt;&gt;"OK",
   "",
   T_Channel[[#This Row],[LogFolder]] &amp; "\" &amp; T_Channel[[#This Row],[LogFile]]
)</f>
        <v/>
      </c>
      <c r="W164" s="20" t="str">
        <f>IF(
   T_Channel[[#This Row],[Safekeeping of logs]]="",
   "",
   VLOOKUP(T_Channel[[#This Row],[Safekeeping of logs]],T_List_LogMode[],2,FALSE)
)</f>
        <v/>
      </c>
      <c r="X164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65" spans="2:24" x14ac:dyDescent="0.45">
      <c r="B165" s="7"/>
      <c r="C165" s="5"/>
      <c r="D165" s="5"/>
      <c r="E165" s="5"/>
      <c r="F165" s="6"/>
      <c r="G165" s="6"/>
      <c r="H165" s="6"/>
      <c r="I165" s="6"/>
      <c r="J165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65" s="13"/>
      <c r="L165" s="7"/>
      <c r="M165" s="41"/>
      <c r="N165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65" s="26" t="str">
        <f>IF(
   T_Channel[[#This Row],[ProviderName]]="",
   "",
   COUNTIF($N$12:$N$9982,T_Channel[[#This Row],[ProviderName]])
)</f>
        <v/>
      </c>
      <c r="P165" s="26" t="str">
        <f>IF(
   T_Channel[[#This Row],[Check]]&lt;&gt;"OK",
   "",
   IF(
      T_Channel[[#This Row],[Query]]="",
      "Empty",
      "Defined"
   )
)</f>
        <v/>
      </c>
      <c r="Q165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65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65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6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65" s="20" t="str">
        <f>IF(
   T_Channel[[#This Row],[Check]]&lt;&gt;"OK",
   "",
   T_Channel[[#This Row],[ChannelSymbol]] &amp; ".evtx"
)</f>
        <v/>
      </c>
      <c r="V165" s="20" t="str">
        <f>IF(
   T_Channel[[#This Row],[Check]]&lt;&gt;"OK",
   "",
   T_Channel[[#This Row],[LogFolder]] &amp; "\" &amp; T_Channel[[#This Row],[LogFile]]
)</f>
        <v/>
      </c>
      <c r="W165" s="20" t="str">
        <f>IF(
   T_Channel[[#This Row],[Safekeeping of logs]]="",
   "",
   VLOOKUP(T_Channel[[#This Row],[Safekeeping of logs]],T_List_LogMode[],2,FALSE)
)</f>
        <v/>
      </c>
      <c r="X165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66" spans="2:24" x14ac:dyDescent="0.45">
      <c r="B166" s="7"/>
      <c r="C166" s="5"/>
      <c r="D166" s="5"/>
      <c r="E166" s="5"/>
      <c r="F166" s="6"/>
      <c r="G166" s="6"/>
      <c r="H166" s="6"/>
      <c r="I166" s="6"/>
      <c r="J166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66" s="13"/>
      <c r="L166" s="7"/>
      <c r="M166" s="41"/>
      <c r="N166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66" s="26" t="str">
        <f>IF(
   T_Channel[[#This Row],[ProviderName]]="",
   "",
   COUNTIF($N$12:$N$9982,T_Channel[[#This Row],[ProviderName]])
)</f>
        <v/>
      </c>
      <c r="P166" s="26" t="str">
        <f>IF(
   T_Channel[[#This Row],[Check]]&lt;&gt;"OK",
   "",
   IF(
      T_Channel[[#This Row],[Query]]="",
      "Empty",
      "Defined"
   )
)</f>
        <v/>
      </c>
      <c r="Q166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66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66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6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66" s="20" t="str">
        <f>IF(
   T_Channel[[#This Row],[Check]]&lt;&gt;"OK",
   "",
   T_Channel[[#This Row],[ChannelSymbol]] &amp; ".evtx"
)</f>
        <v/>
      </c>
      <c r="V166" s="20" t="str">
        <f>IF(
   T_Channel[[#This Row],[Check]]&lt;&gt;"OK",
   "",
   T_Channel[[#This Row],[LogFolder]] &amp; "\" &amp; T_Channel[[#This Row],[LogFile]]
)</f>
        <v/>
      </c>
      <c r="W166" s="20" t="str">
        <f>IF(
   T_Channel[[#This Row],[Safekeeping of logs]]="",
   "",
   VLOOKUP(T_Channel[[#This Row],[Safekeeping of logs]],T_List_LogMode[],2,FALSE)
)</f>
        <v/>
      </c>
      <c r="X166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67" spans="2:24" x14ac:dyDescent="0.45">
      <c r="B167" s="7"/>
      <c r="C167" s="5"/>
      <c r="D167" s="5"/>
      <c r="E167" s="5"/>
      <c r="F167" s="6"/>
      <c r="G167" s="6"/>
      <c r="H167" s="6"/>
      <c r="I167" s="6"/>
      <c r="J167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67" s="13"/>
      <c r="L167" s="7"/>
      <c r="M167" s="41"/>
      <c r="N167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67" s="26" t="str">
        <f>IF(
   T_Channel[[#This Row],[ProviderName]]="",
   "",
   COUNTIF($N$12:$N$9982,T_Channel[[#This Row],[ProviderName]])
)</f>
        <v/>
      </c>
      <c r="P167" s="26" t="str">
        <f>IF(
   T_Channel[[#This Row],[Check]]&lt;&gt;"OK",
   "",
   IF(
      T_Channel[[#This Row],[Query]]="",
      "Empty",
      "Defined"
   )
)</f>
        <v/>
      </c>
      <c r="Q167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67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67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6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67" s="20" t="str">
        <f>IF(
   T_Channel[[#This Row],[Check]]&lt;&gt;"OK",
   "",
   T_Channel[[#This Row],[ChannelSymbol]] &amp; ".evtx"
)</f>
        <v/>
      </c>
      <c r="V167" s="20" t="str">
        <f>IF(
   T_Channel[[#This Row],[Check]]&lt;&gt;"OK",
   "",
   T_Channel[[#This Row],[LogFolder]] &amp; "\" &amp; T_Channel[[#This Row],[LogFile]]
)</f>
        <v/>
      </c>
      <c r="W167" s="20" t="str">
        <f>IF(
   T_Channel[[#This Row],[Safekeeping of logs]]="",
   "",
   VLOOKUP(T_Channel[[#This Row],[Safekeeping of logs]],T_List_LogMode[],2,FALSE)
)</f>
        <v/>
      </c>
      <c r="X167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68" spans="2:24" x14ac:dyDescent="0.45">
      <c r="B168" s="7"/>
      <c r="C168" s="5"/>
      <c r="D168" s="5"/>
      <c r="E168" s="5"/>
      <c r="F168" s="6"/>
      <c r="G168" s="6"/>
      <c r="H168" s="6"/>
      <c r="I168" s="6"/>
      <c r="J168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68" s="13"/>
      <c r="L168" s="7"/>
      <c r="M168" s="41"/>
      <c r="N168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68" s="26" t="str">
        <f>IF(
   T_Channel[[#This Row],[ProviderName]]="",
   "",
   COUNTIF($N$12:$N$9982,T_Channel[[#This Row],[ProviderName]])
)</f>
        <v/>
      </c>
      <c r="P168" s="26" t="str">
        <f>IF(
   T_Channel[[#This Row],[Check]]&lt;&gt;"OK",
   "",
   IF(
      T_Channel[[#This Row],[Query]]="",
      "Empty",
      "Defined"
   )
)</f>
        <v/>
      </c>
      <c r="Q168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68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68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6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68" s="20" t="str">
        <f>IF(
   T_Channel[[#This Row],[Check]]&lt;&gt;"OK",
   "",
   T_Channel[[#This Row],[ChannelSymbol]] &amp; ".evtx"
)</f>
        <v/>
      </c>
      <c r="V168" s="20" t="str">
        <f>IF(
   T_Channel[[#This Row],[Check]]&lt;&gt;"OK",
   "",
   T_Channel[[#This Row],[LogFolder]] &amp; "\" &amp; T_Channel[[#This Row],[LogFile]]
)</f>
        <v/>
      </c>
      <c r="W168" s="20" t="str">
        <f>IF(
   T_Channel[[#This Row],[Safekeeping of logs]]="",
   "",
   VLOOKUP(T_Channel[[#This Row],[Safekeeping of logs]],T_List_LogMode[],2,FALSE)
)</f>
        <v/>
      </c>
      <c r="X168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69" spans="2:24" x14ac:dyDescent="0.45">
      <c r="B169" s="7"/>
      <c r="C169" s="5"/>
      <c r="D169" s="5"/>
      <c r="E169" s="5"/>
      <c r="F169" s="6"/>
      <c r="G169" s="6"/>
      <c r="H169" s="6"/>
      <c r="I169" s="6"/>
      <c r="J169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69" s="13"/>
      <c r="L169" s="7"/>
      <c r="M169" s="41"/>
      <c r="N169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69" s="26" t="str">
        <f>IF(
   T_Channel[[#This Row],[ProviderName]]="",
   "",
   COUNTIF($N$12:$N$9982,T_Channel[[#This Row],[ProviderName]])
)</f>
        <v/>
      </c>
      <c r="P169" s="26" t="str">
        <f>IF(
   T_Channel[[#This Row],[Check]]&lt;&gt;"OK",
   "",
   IF(
      T_Channel[[#This Row],[Query]]="",
      "Empty",
      "Defined"
   )
)</f>
        <v/>
      </c>
      <c r="Q169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69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69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6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69" s="20" t="str">
        <f>IF(
   T_Channel[[#This Row],[Check]]&lt;&gt;"OK",
   "",
   T_Channel[[#This Row],[ChannelSymbol]] &amp; ".evtx"
)</f>
        <v/>
      </c>
      <c r="V169" s="20" t="str">
        <f>IF(
   T_Channel[[#This Row],[Check]]&lt;&gt;"OK",
   "",
   T_Channel[[#This Row],[LogFolder]] &amp; "\" &amp; T_Channel[[#This Row],[LogFile]]
)</f>
        <v/>
      </c>
      <c r="W169" s="20" t="str">
        <f>IF(
   T_Channel[[#This Row],[Safekeeping of logs]]="",
   "",
   VLOOKUP(T_Channel[[#This Row],[Safekeeping of logs]],T_List_LogMode[],2,FALSE)
)</f>
        <v/>
      </c>
      <c r="X169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70" spans="2:24" x14ac:dyDescent="0.45">
      <c r="B170" s="7"/>
      <c r="C170" s="5"/>
      <c r="D170" s="5"/>
      <c r="E170" s="5"/>
      <c r="F170" s="6"/>
      <c r="G170" s="6"/>
      <c r="H170" s="6"/>
      <c r="I170" s="6"/>
      <c r="J170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70" s="13"/>
      <c r="L170" s="7"/>
      <c r="M170" s="41"/>
      <c r="N170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70" s="26" t="str">
        <f>IF(
   T_Channel[[#This Row],[ProviderName]]="",
   "",
   COUNTIF($N$12:$N$9982,T_Channel[[#This Row],[ProviderName]])
)</f>
        <v/>
      </c>
      <c r="P170" s="26" t="str">
        <f>IF(
   T_Channel[[#This Row],[Check]]&lt;&gt;"OK",
   "",
   IF(
      T_Channel[[#This Row],[Query]]="",
      "Empty",
      "Defined"
   )
)</f>
        <v/>
      </c>
      <c r="Q170" s="49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70" s="19" t="str">
        <f>IF(
   T_Channel[[#This Row],[Query]]="",
   "",
   LEFT(SUBSTITUTE(T_Channel[[#This Row],[Query]],"&lt;Select Path=""","",1),FIND("""",SUBSTITUTE(T_Channel[[#This Row],[Query]],"&lt;Select Path=""","",1))-1)
)</f>
        <v/>
      </c>
      <c r="S170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7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70" s="20" t="str">
        <f>IF(
   T_Channel[[#This Row],[Check]]&lt;&gt;"OK",
   "",
   T_Channel[[#This Row],[ChannelSymbol]] &amp; ".evtx"
)</f>
        <v/>
      </c>
      <c r="V170" s="20" t="str">
        <f>IF(
   T_Channel[[#This Row],[Check]]&lt;&gt;"OK",
   "",
   T_Channel[[#This Row],[LogFolder]] &amp; "\" &amp; T_Channel[[#This Row],[LogFile]]
)</f>
        <v/>
      </c>
      <c r="W170" s="20" t="str">
        <f>IF(
   T_Channel[[#This Row],[Safekeeping of logs]]="",
   "",
   VLOOKUP(T_Channel[[#This Row],[Safekeeping of logs]],T_List_LogMode[],2,FALSE)
)</f>
        <v/>
      </c>
      <c r="X170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71" spans="2:24" x14ac:dyDescent="0.45">
      <c r="B171" s="7"/>
      <c r="C171" s="5"/>
      <c r="D171" s="5"/>
      <c r="E171" s="5"/>
      <c r="F171" s="6"/>
      <c r="G171" s="6"/>
      <c r="H171" s="6"/>
      <c r="I171" s="6"/>
      <c r="J171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71" s="13"/>
      <c r="L171" s="7"/>
      <c r="M171" s="41"/>
      <c r="N171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71" s="26" t="str">
        <f>IF(
   T_Channel[[#This Row],[ProviderName]]="",
   "",
   COUNTIF($N$12:$N$9982,T_Channel[[#This Row],[ProviderName]])
)</f>
        <v/>
      </c>
      <c r="P171" s="26" t="str">
        <f>IF(
   T_Channel[[#This Row],[Check]]&lt;&gt;"OK",
   "",
   IF(
      T_Channel[[#This Row],[Query]]="",
      "Empty",
      "Defined"
   )
)</f>
        <v/>
      </c>
      <c r="Q171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71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71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7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71" s="20" t="str">
        <f>IF(
   T_Channel[[#This Row],[Check]]&lt;&gt;"OK",
   "",
   T_Channel[[#This Row],[ChannelSymbol]] &amp; ".evtx"
)</f>
        <v/>
      </c>
      <c r="V171" s="20" t="str">
        <f>IF(
   T_Channel[[#This Row],[Check]]&lt;&gt;"OK",
   "",
   T_Channel[[#This Row],[LogFolder]] &amp; "\" &amp; T_Channel[[#This Row],[LogFile]]
)</f>
        <v/>
      </c>
      <c r="W171" s="20" t="str">
        <f>IF(
   T_Channel[[#This Row],[Safekeeping of logs]]="",
   "",
   VLOOKUP(T_Channel[[#This Row],[Safekeeping of logs]],T_List_LogMode[],2,FALSE)
)</f>
        <v/>
      </c>
      <c r="X171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72" spans="2:24" x14ac:dyDescent="0.45">
      <c r="B172" s="7"/>
      <c r="C172" s="5"/>
      <c r="D172" s="5"/>
      <c r="E172" s="5"/>
      <c r="F172" s="6"/>
      <c r="G172" s="6"/>
      <c r="H172" s="6"/>
      <c r="I172" s="6"/>
      <c r="J172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72" s="13"/>
      <c r="L172" s="7"/>
      <c r="M172" s="41"/>
      <c r="N172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72" s="26" t="str">
        <f>IF(
   T_Channel[[#This Row],[ProviderName]]="",
   "",
   COUNTIF($N$12:$N$9982,T_Channel[[#This Row],[ProviderName]])
)</f>
        <v/>
      </c>
      <c r="P172" s="26" t="str">
        <f>IF(
   T_Channel[[#This Row],[Check]]&lt;&gt;"OK",
   "",
   IF(
      T_Channel[[#This Row],[Query]]="",
      "Empty",
      "Defined"
   )
)</f>
        <v/>
      </c>
      <c r="Q172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72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72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7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72" s="20" t="str">
        <f>IF(
   T_Channel[[#This Row],[Check]]&lt;&gt;"OK",
   "",
   T_Channel[[#This Row],[ChannelSymbol]] &amp; ".evtx"
)</f>
        <v/>
      </c>
      <c r="V172" s="20" t="str">
        <f>IF(
   T_Channel[[#This Row],[Check]]&lt;&gt;"OK",
   "",
   T_Channel[[#This Row],[LogFolder]] &amp; "\" &amp; T_Channel[[#This Row],[LogFile]]
)</f>
        <v/>
      </c>
      <c r="W172" s="20" t="str">
        <f>IF(
   T_Channel[[#This Row],[Safekeeping of logs]]="",
   "",
   VLOOKUP(T_Channel[[#This Row],[Safekeeping of logs]],T_List_LogMode[],2,FALSE)
)</f>
        <v/>
      </c>
      <c r="X172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73" spans="2:24" x14ac:dyDescent="0.45">
      <c r="B173" s="7"/>
      <c r="C173" s="7"/>
      <c r="D173" s="7"/>
      <c r="E173" s="7"/>
      <c r="F173" s="6"/>
      <c r="G173" s="6"/>
      <c r="H173" s="6"/>
      <c r="I173" s="6"/>
      <c r="J173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73" s="21"/>
      <c r="L173" s="7"/>
      <c r="M173" s="41"/>
      <c r="N173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73" s="26" t="str">
        <f>IF(
   T_Channel[[#This Row],[ProviderName]]="",
   "",
   COUNTIF($N$12:$N$9982,T_Channel[[#This Row],[ProviderName]])
)</f>
        <v/>
      </c>
      <c r="P173" s="26" t="str">
        <f>IF(
   T_Channel[[#This Row],[Check]]&lt;&gt;"OK",
   "",
   IF(
      T_Channel[[#This Row],[Query]]="",
      "Empty",
      "Defined"
   )
)</f>
        <v/>
      </c>
      <c r="Q173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73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73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7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73" s="20" t="str">
        <f>IF(
   T_Channel[[#This Row],[Check]]&lt;&gt;"OK",
   "",
   T_Channel[[#This Row],[ChannelSymbol]] &amp; ".evtx"
)</f>
        <v/>
      </c>
      <c r="V173" s="20" t="str">
        <f>IF(
   T_Channel[[#This Row],[Check]]&lt;&gt;"OK",
   "",
   T_Channel[[#This Row],[LogFolder]] &amp; "\" &amp; T_Channel[[#This Row],[LogFile]]
)</f>
        <v/>
      </c>
      <c r="W173" s="20" t="str">
        <f>IF(
   T_Channel[[#This Row],[Safekeeping of logs]]="",
   "",
   VLOOKUP(T_Channel[[#This Row],[Safekeeping of logs]],T_List_LogMode[],2,FALSE)
)</f>
        <v/>
      </c>
      <c r="X173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74" spans="2:24" x14ac:dyDescent="0.45">
      <c r="B174" s="7"/>
      <c r="C174" s="7"/>
      <c r="D174" s="7"/>
      <c r="E174" s="7"/>
      <c r="F174" s="6"/>
      <c r="G174" s="6"/>
      <c r="H174" s="6"/>
      <c r="I174" s="6"/>
      <c r="J174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74" s="21"/>
      <c r="L174" s="7"/>
      <c r="M174" s="41"/>
      <c r="N174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74" s="26" t="str">
        <f>IF(
   T_Channel[[#This Row],[ProviderName]]="",
   "",
   COUNTIF($N$12:$N$9982,T_Channel[[#This Row],[ProviderName]])
)</f>
        <v/>
      </c>
      <c r="P174" s="26" t="str">
        <f>IF(
   T_Channel[[#This Row],[Check]]&lt;&gt;"OK",
   "",
   IF(
      T_Channel[[#This Row],[Query]]="",
      "Empty",
      "Defined"
   )
)</f>
        <v/>
      </c>
      <c r="Q174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74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74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7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74" s="20" t="str">
        <f>IF(
   T_Channel[[#This Row],[Check]]&lt;&gt;"OK",
   "",
   T_Channel[[#This Row],[ChannelSymbol]] &amp; ".evtx"
)</f>
        <v/>
      </c>
      <c r="V174" s="20" t="str">
        <f>IF(
   T_Channel[[#This Row],[Check]]&lt;&gt;"OK",
   "",
   T_Channel[[#This Row],[LogFolder]] &amp; "\" &amp; T_Channel[[#This Row],[LogFile]]
)</f>
        <v/>
      </c>
      <c r="W174" s="20" t="str">
        <f>IF(
   T_Channel[[#This Row],[Safekeeping of logs]]="",
   "",
   VLOOKUP(T_Channel[[#This Row],[Safekeeping of logs]],T_List_LogMode[],2,FALSE)
)</f>
        <v/>
      </c>
      <c r="X174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75" spans="2:24" x14ac:dyDescent="0.45">
      <c r="B175" s="7"/>
      <c r="C175" s="7"/>
      <c r="D175" s="5"/>
      <c r="E175" s="7"/>
      <c r="F175" s="6"/>
      <c r="G175" s="6"/>
      <c r="H175" s="6"/>
      <c r="I175" s="6"/>
      <c r="J175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75" s="21"/>
      <c r="L175" s="7"/>
      <c r="M175" s="41"/>
      <c r="N175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75" s="26" t="str">
        <f>IF(
   T_Channel[[#This Row],[ProviderName]]="",
   "",
   COUNTIF($N$12:$N$9982,T_Channel[[#This Row],[ProviderName]])
)</f>
        <v/>
      </c>
      <c r="P175" s="26" t="str">
        <f>IF(
   T_Channel[[#This Row],[Check]]&lt;&gt;"OK",
   "",
   IF(
      T_Channel[[#This Row],[Query]]="",
      "Empty",
      "Defined"
   )
)</f>
        <v/>
      </c>
      <c r="Q175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75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75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7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75" s="20" t="str">
        <f>IF(
   T_Channel[[#This Row],[Check]]&lt;&gt;"OK",
   "",
   T_Channel[[#This Row],[ChannelSymbol]] &amp; ".evtx"
)</f>
        <v/>
      </c>
      <c r="V175" s="20" t="str">
        <f>IF(
   T_Channel[[#This Row],[Check]]&lt;&gt;"OK",
   "",
   T_Channel[[#This Row],[LogFolder]] &amp; "\" &amp; T_Channel[[#This Row],[LogFile]]
)</f>
        <v/>
      </c>
      <c r="W175" s="20" t="str">
        <f>IF(
   T_Channel[[#This Row],[Safekeeping of logs]]="",
   "",
   VLOOKUP(T_Channel[[#This Row],[Safekeeping of logs]],T_List_LogMode[],2,FALSE)
)</f>
        <v/>
      </c>
      <c r="X175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76" spans="2:24" x14ac:dyDescent="0.45">
      <c r="B176" s="7"/>
      <c r="C176" s="7"/>
      <c r="D176" s="5"/>
      <c r="E176" s="7"/>
      <c r="F176" s="6"/>
      <c r="G176" s="6"/>
      <c r="H176" s="6"/>
      <c r="I176" s="6"/>
      <c r="J176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76" s="21"/>
      <c r="L176" s="7"/>
      <c r="M176" s="41"/>
      <c r="N176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76" s="26" t="str">
        <f>IF(
   T_Channel[[#This Row],[ProviderName]]="",
   "",
   COUNTIF($N$12:$N$9982,T_Channel[[#This Row],[ProviderName]])
)</f>
        <v/>
      </c>
      <c r="P176" s="26" t="str">
        <f>IF(
   T_Channel[[#This Row],[Check]]&lt;&gt;"OK",
   "",
   IF(
      T_Channel[[#This Row],[Query]]="",
      "Empty",
      "Defined"
   )
)</f>
        <v/>
      </c>
      <c r="Q176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76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76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7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76" s="20" t="str">
        <f>IF(
   T_Channel[[#This Row],[Check]]&lt;&gt;"OK",
   "",
   T_Channel[[#This Row],[ChannelSymbol]] &amp; ".evtx"
)</f>
        <v/>
      </c>
      <c r="V176" s="20" t="str">
        <f>IF(
   T_Channel[[#This Row],[Check]]&lt;&gt;"OK",
   "",
   T_Channel[[#This Row],[LogFolder]] &amp; "\" &amp; T_Channel[[#This Row],[LogFile]]
)</f>
        <v/>
      </c>
      <c r="W176" s="20" t="str">
        <f>IF(
   T_Channel[[#This Row],[Safekeeping of logs]]="",
   "",
   VLOOKUP(T_Channel[[#This Row],[Safekeeping of logs]],T_List_LogMode[],2,FALSE)
)</f>
        <v/>
      </c>
      <c r="X176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77" spans="2:24" x14ac:dyDescent="0.45">
      <c r="B177" s="7"/>
      <c r="C177" s="7"/>
      <c r="D177" s="7"/>
      <c r="E177" s="7"/>
      <c r="F177" s="6"/>
      <c r="G177" s="6"/>
      <c r="H177" s="6"/>
      <c r="I177" s="6"/>
      <c r="J177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77" s="21"/>
      <c r="L177" s="7"/>
      <c r="M177" s="41"/>
      <c r="N177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77" s="26" t="str">
        <f>IF(
   T_Channel[[#This Row],[ProviderName]]="",
   "",
   COUNTIF($N$12:$N$9982,T_Channel[[#This Row],[ProviderName]])
)</f>
        <v/>
      </c>
      <c r="P177" s="26" t="str">
        <f>IF(
   T_Channel[[#This Row],[Check]]&lt;&gt;"OK",
   "",
   IF(
      T_Channel[[#This Row],[Query]]="",
      "Empty",
      "Defined"
   )
)</f>
        <v/>
      </c>
      <c r="Q177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77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77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7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77" s="20" t="str">
        <f>IF(
   T_Channel[[#This Row],[Check]]&lt;&gt;"OK",
   "",
   T_Channel[[#This Row],[ChannelSymbol]] &amp; ".evtx"
)</f>
        <v/>
      </c>
      <c r="V177" s="20" t="str">
        <f>IF(
   T_Channel[[#This Row],[Check]]&lt;&gt;"OK",
   "",
   T_Channel[[#This Row],[LogFolder]] &amp; "\" &amp; T_Channel[[#This Row],[LogFile]]
)</f>
        <v/>
      </c>
      <c r="W177" s="20" t="str">
        <f>IF(
   T_Channel[[#This Row],[Safekeeping of logs]]="",
   "",
   VLOOKUP(T_Channel[[#This Row],[Safekeeping of logs]],T_List_LogMode[],2,FALSE)
)</f>
        <v/>
      </c>
      <c r="X177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78" spans="2:24" x14ac:dyDescent="0.45">
      <c r="B178" s="7"/>
      <c r="C178" s="7"/>
      <c r="D178" s="7"/>
      <c r="E178" s="7"/>
      <c r="F178" s="6"/>
      <c r="G178" s="6"/>
      <c r="H178" s="6"/>
      <c r="I178" s="6"/>
      <c r="J178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78" s="21"/>
      <c r="L178" s="7"/>
      <c r="M178" s="41"/>
      <c r="N178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78" s="26" t="str">
        <f>IF(
   T_Channel[[#This Row],[ProviderName]]="",
   "",
   COUNTIF($N$12:$N$9982,T_Channel[[#This Row],[ProviderName]])
)</f>
        <v/>
      </c>
      <c r="P178" s="26" t="str">
        <f>IF(
   T_Channel[[#This Row],[Check]]&lt;&gt;"OK",
   "",
   IF(
      T_Channel[[#This Row],[Query]]="",
      "Empty",
      "Defined"
   )
)</f>
        <v/>
      </c>
      <c r="Q178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78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78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7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78" s="20" t="str">
        <f>IF(
   T_Channel[[#This Row],[Check]]&lt;&gt;"OK",
   "",
   T_Channel[[#This Row],[ChannelSymbol]] &amp; ".evtx"
)</f>
        <v/>
      </c>
      <c r="V178" s="20" t="str">
        <f>IF(
   T_Channel[[#This Row],[Check]]&lt;&gt;"OK",
   "",
   T_Channel[[#This Row],[LogFolder]] &amp; "\" &amp; T_Channel[[#This Row],[LogFile]]
)</f>
        <v/>
      </c>
      <c r="W178" s="20" t="str">
        <f>IF(
   T_Channel[[#This Row],[Safekeeping of logs]]="",
   "",
   VLOOKUP(T_Channel[[#This Row],[Safekeeping of logs]],T_List_LogMode[],2,FALSE)
)</f>
        <v/>
      </c>
      <c r="X178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79" spans="2:24" x14ac:dyDescent="0.45">
      <c r="B179" s="7"/>
      <c r="C179" s="7"/>
      <c r="D179" s="5"/>
      <c r="E179" s="7"/>
      <c r="F179" s="6"/>
      <c r="G179" s="6"/>
      <c r="H179" s="6"/>
      <c r="I179" s="6"/>
      <c r="J179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79" s="21"/>
      <c r="L179" s="7"/>
      <c r="M179" s="41"/>
      <c r="N179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79" s="26" t="str">
        <f>IF(
   T_Channel[[#This Row],[ProviderName]]="",
   "",
   COUNTIF($N$12:$N$9982,T_Channel[[#This Row],[ProviderName]])
)</f>
        <v/>
      </c>
      <c r="P179" s="26" t="str">
        <f>IF(
   T_Channel[[#This Row],[Check]]&lt;&gt;"OK",
   "",
   IF(
      T_Channel[[#This Row],[Query]]="",
      "Empty",
      "Defined"
   )
)</f>
        <v/>
      </c>
      <c r="Q179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79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79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7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79" s="20" t="str">
        <f>IF(
   T_Channel[[#This Row],[Check]]&lt;&gt;"OK",
   "",
   T_Channel[[#This Row],[ChannelSymbol]] &amp; ".evtx"
)</f>
        <v/>
      </c>
      <c r="V179" s="20" t="str">
        <f>IF(
   T_Channel[[#This Row],[Check]]&lt;&gt;"OK",
   "",
   T_Channel[[#This Row],[LogFolder]] &amp; "\" &amp; T_Channel[[#This Row],[LogFile]]
)</f>
        <v/>
      </c>
      <c r="W179" s="20" t="str">
        <f>IF(
   T_Channel[[#This Row],[Safekeeping of logs]]="",
   "",
   VLOOKUP(T_Channel[[#This Row],[Safekeeping of logs]],T_List_LogMode[],2,FALSE)
)</f>
        <v/>
      </c>
      <c r="X179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80" spans="2:24" x14ac:dyDescent="0.45">
      <c r="B180" s="7"/>
      <c r="C180" s="7"/>
      <c r="D180" s="5"/>
      <c r="E180" s="7"/>
      <c r="F180" s="6"/>
      <c r="G180" s="6"/>
      <c r="H180" s="6"/>
      <c r="I180" s="6"/>
      <c r="J180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80" s="21"/>
      <c r="L180" s="7"/>
      <c r="M180" s="41"/>
      <c r="N180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80" s="26" t="str">
        <f>IF(
   T_Channel[[#This Row],[ProviderName]]="",
   "",
   COUNTIF($N$12:$N$9982,T_Channel[[#This Row],[ProviderName]])
)</f>
        <v/>
      </c>
      <c r="P180" s="26" t="str">
        <f>IF(
   T_Channel[[#This Row],[Check]]&lt;&gt;"OK",
   "",
   IF(
      T_Channel[[#This Row],[Query]]="",
      "Empty",
      "Defined"
   )
)</f>
        <v/>
      </c>
      <c r="Q180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80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80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8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80" s="20" t="str">
        <f>IF(
   T_Channel[[#This Row],[Check]]&lt;&gt;"OK",
   "",
   T_Channel[[#This Row],[ChannelSymbol]] &amp; ".evtx"
)</f>
        <v/>
      </c>
      <c r="V180" s="20" t="str">
        <f>IF(
   T_Channel[[#This Row],[Check]]&lt;&gt;"OK",
   "",
   T_Channel[[#This Row],[LogFolder]] &amp; "\" &amp; T_Channel[[#This Row],[LogFile]]
)</f>
        <v/>
      </c>
      <c r="W180" s="20" t="str">
        <f>IF(
   T_Channel[[#This Row],[Safekeeping of logs]]="",
   "",
   VLOOKUP(T_Channel[[#This Row],[Safekeeping of logs]],T_List_LogMode[],2,FALSE)
)</f>
        <v/>
      </c>
      <c r="X180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81" spans="2:24" x14ac:dyDescent="0.45">
      <c r="B181" s="7"/>
      <c r="C181" s="7"/>
      <c r="D181" s="7"/>
      <c r="E181" s="7"/>
      <c r="F181" s="6"/>
      <c r="G181" s="6"/>
      <c r="H181" s="6"/>
      <c r="I181" s="6"/>
      <c r="J181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81" s="21"/>
      <c r="L181" s="7"/>
      <c r="M181" s="41"/>
      <c r="N181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81" s="26" t="str">
        <f>IF(
   T_Channel[[#This Row],[ProviderName]]="",
   "",
   COUNTIF($N$12:$N$9982,T_Channel[[#This Row],[ProviderName]])
)</f>
        <v/>
      </c>
      <c r="P181" s="26" t="str">
        <f>IF(
   T_Channel[[#This Row],[Check]]&lt;&gt;"OK",
   "",
   IF(
      T_Channel[[#This Row],[Query]]="",
      "Empty",
      "Defined"
   )
)</f>
        <v/>
      </c>
      <c r="Q181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81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81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8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81" s="20" t="str">
        <f>IF(
   T_Channel[[#This Row],[Check]]&lt;&gt;"OK",
   "",
   T_Channel[[#This Row],[ChannelSymbol]] &amp; ".evtx"
)</f>
        <v/>
      </c>
      <c r="V181" s="20" t="str">
        <f>IF(
   T_Channel[[#This Row],[Check]]&lt;&gt;"OK",
   "",
   T_Channel[[#This Row],[LogFolder]] &amp; "\" &amp; T_Channel[[#This Row],[LogFile]]
)</f>
        <v/>
      </c>
      <c r="W181" s="20" t="str">
        <f>IF(
   T_Channel[[#This Row],[Safekeeping of logs]]="",
   "",
   VLOOKUP(T_Channel[[#This Row],[Safekeeping of logs]],T_List_LogMode[],2,FALSE)
)</f>
        <v/>
      </c>
      <c r="X181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82" spans="2:24" x14ac:dyDescent="0.45">
      <c r="B182" s="7"/>
      <c r="C182" s="7"/>
      <c r="D182" s="7"/>
      <c r="E182" s="7"/>
      <c r="F182" s="6"/>
      <c r="G182" s="6"/>
      <c r="H182" s="6"/>
      <c r="I182" s="6"/>
      <c r="J182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82" s="21"/>
      <c r="L182" s="7"/>
      <c r="M182" s="41"/>
      <c r="N182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82" s="26" t="str">
        <f>IF(
   T_Channel[[#This Row],[ProviderName]]="",
   "",
   COUNTIF($N$12:$N$9982,T_Channel[[#This Row],[ProviderName]])
)</f>
        <v/>
      </c>
      <c r="P182" s="26" t="str">
        <f>IF(
   T_Channel[[#This Row],[Check]]&lt;&gt;"OK",
   "",
   IF(
      T_Channel[[#This Row],[Query]]="",
      "Empty",
      "Defined"
   )
)</f>
        <v/>
      </c>
      <c r="Q182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82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82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8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82" s="20" t="str">
        <f>IF(
   T_Channel[[#This Row],[Check]]&lt;&gt;"OK",
   "",
   T_Channel[[#This Row],[ChannelSymbol]] &amp; ".evtx"
)</f>
        <v/>
      </c>
      <c r="V182" s="20" t="str">
        <f>IF(
   T_Channel[[#This Row],[Check]]&lt;&gt;"OK",
   "",
   T_Channel[[#This Row],[LogFolder]] &amp; "\" &amp; T_Channel[[#This Row],[LogFile]]
)</f>
        <v/>
      </c>
      <c r="W182" s="20" t="str">
        <f>IF(
   T_Channel[[#This Row],[Safekeeping of logs]]="",
   "",
   VLOOKUP(T_Channel[[#This Row],[Safekeeping of logs]],T_List_LogMode[],2,FALSE)
)</f>
        <v/>
      </c>
      <c r="X182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83" spans="2:24" x14ac:dyDescent="0.45">
      <c r="B183" s="7"/>
      <c r="C183" s="7"/>
      <c r="D183" s="5"/>
      <c r="E183" s="7"/>
      <c r="F183" s="6"/>
      <c r="G183" s="6"/>
      <c r="H183" s="6"/>
      <c r="I183" s="6"/>
      <c r="J183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83" s="21"/>
      <c r="L183" s="7"/>
      <c r="M183" s="41"/>
      <c r="N183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83" s="26" t="str">
        <f>IF(
   T_Channel[[#This Row],[ProviderName]]="",
   "",
   COUNTIF($N$12:$N$9982,T_Channel[[#This Row],[ProviderName]])
)</f>
        <v/>
      </c>
      <c r="P183" s="26" t="str">
        <f>IF(
   T_Channel[[#This Row],[Check]]&lt;&gt;"OK",
   "",
   IF(
      T_Channel[[#This Row],[Query]]="",
      "Empty",
      "Defined"
   )
)</f>
        <v/>
      </c>
      <c r="Q183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83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83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8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83" s="20" t="str">
        <f>IF(
   T_Channel[[#This Row],[Check]]&lt;&gt;"OK",
   "",
   T_Channel[[#This Row],[ChannelSymbol]] &amp; ".evtx"
)</f>
        <v/>
      </c>
      <c r="V183" s="20" t="str">
        <f>IF(
   T_Channel[[#This Row],[Check]]&lt;&gt;"OK",
   "",
   T_Channel[[#This Row],[LogFolder]] &amp; "\" &amp; T_Channel[[#This Row],[LogFile]]
)</f>
        <v/>
      </c>
      <c r="W183" s="20" t="str">
        <f>IF(
   T_Channel[[#This Row],[Safekeeping of logs]]="",
   "",
   VLOOKUP(T_Channel[[#This Row],[Safekeeping of logs]],T_List_LogMode[],2,FALSE)
)</f>
        <v/>
      </c>
      <c r="X183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84" spans="2:24" x14ac:dyDescent="0.45">
      <c r="B184" s="7"/>
      <c r="C184" s="7"/>
      <c r="D184" s="5"/>
      <c r="E184" s="7"/>
      <c r="F184" s="6"/>
      <c r="G184" s="6"/>
      <c r="H184" s="6"/>
      <c r="I184" s="6"/>
      <c r="J184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84" s="21"/>
      <c r="L184" s="7"/>
      <c r="M184" s="41"/>
      <c r="N184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84" s="26" t="str">
        <f>IF(
   T_Channel[[#This Row],[ProviderName]]="",
   "",
   COUNTIF($N$12:$N$9982,T_Channel[[#This Row],[ProviderName]])
)</f>
        <v/>
      </c>
      <c r="P184" s="26" t="str">
        <f>IF(
   T_Channel[[#This Row],[Check]]&lt;&gt;"OK",
   "",
   IF(
      T_Channel[[#This Row],[Query]]="",
      "Empty",
      "Defined"
   )
)</f>
        <v/>
      </c>
      <c r="Q184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84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84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8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84" s="20" t="str">
        <f>IF(
   T_Channel[[#This Row],[Check]]&lt;&gt;"OK",
   "",
   T_Channel[[#This Row],[ChannelSymbol]] &amp; ".evtx"
)</f>
        <v/>
      </c>
      <c r="V184" s="20" t="str">
        <f>IF(
   T_Channel[[#This Row],[Check]]&lt;&gt;"OK",
   "",
   T_Channel[[#This Row],[LogFolder]] &amp; "\" &amp; T_Channel[[#This Row],[LogFile]]
)</f>
        <v/>
      </c>
      <c r="W184" s="20" t="str">
        <f>IF(
   T_Channel[[#This Row],[Safekeeping of logs]]="",
   "",
   VLOOKUP(T_Channel[[#This Row],[Safekeeping of logs]],T_List_LogMode[],2,FALSE)
)</f>
        <v/>
      </c>
      <c r="X184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85" spans="2:24" x14ac:dyDescent="0.45">
      <c r="B185" s="7"/>
      <c r="C185" s="7"/>
      <c r="D185" s="7"/>
      <c r="E185" s="7"/>
      <c r="F185" s="6"/>
      <c r="G185" s="6"/>
      <c r="H185" s="6"/>
      <c r="I185" s="6"/>
      <c r="J185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85" s="13"/>
      <c r="L185" s="7"/>
      <c r="M185" s="41"/>
      <c r="N185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85" s="26" t="str">
        <f>IF(
   T_Channel[[#This Row],[ProviderName]]="",
   "",
   COUNTIF($N$12:$N$9982,T_Channel[[#This Row],[ProviderName]])
)</f>
        <v/>
      </c>
      <c r="P185" s="26" t="str">
        <f>IF(
   T_Channel[[#This Row],[Check]]&lt;&gt;"OK",
   "",
   IF(
      T_Channel[[#This Row],[Query]]="",
      "Empty",
      "Defined"
   )
)</f>
        <v/>
      </c>
      <c r="Q185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85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85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8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85" s="20" t="str">
        <f>IF(
   T_Channel[[#This Row],[Check]]&lt;&gt;"OK",
   "",
   T_Channel[[#This Row],[ChannelSymbol]] &amp; ".evtx"
)</f>
        <v/>
      </c>
      <c r="V185" s="20" t="str">
        <f>IF(
   T_Channel[[#This Row],[Check]]&lt;&gt;"OK",
   "",
   T_Channel[[#This Row],[LogFolder]] &amp; "\" &amp; T_Channel[[#This Row],[LogFile]]
)</f>
        <v/>
      </c>
      <c r="W185" s="20" t="str">
        <f>IF(
   T_Channel[[#This Row],[Safekeeping of logs]]="",
   "",
   VLOOKUP(T_Channel[[#This Row],[Safekeeping of logs]],T_List_LogMode[],2,FALSE)
)</f>
        <v/>
      </c>
      <c r="X185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86" spans="2:24" x14ac:dyDescent="0.45">
      <c r="B186" s="7"/>
      <c r="C186" s="7"/>
      <c r="D186" s="5"/>
      <c r="E186" s="5"/>
      <c r="F186" s="6"/>
      <c r="G186" s="6"/>
      <c r="H186" s="6"/>
      <c r="I186" s="6"/>
      <c r="J186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86" s="13"/>
      <c r="L186" s="7"/>
      <c r="M186" s="41"/>
      <c r="N186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86" s="26" t="str">
        <f>IF(
   T_Channel[[#This Row],[ProviderName]]="",
   "",
   COUNTIF($N$12:$N$9982,T_Channel[[#This Row],[ProviderName]])
)</f>
        <v/>
      </c>
      <c r="P186" s="26" t="str">
        <f>IF(
   T_Channel[[#This Row],[Check]]&lt;&gt;"OK",
   "",
   IF(
      T_Channel[[#This Row],[Query]]="",
      "Empty",
      "Defined"
   )
)</f>
        <v/>
      </c>
      <c r="Q186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86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86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8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86" s="20" t="str">
        <f>IF(
   T_Channel[[#This Row],[Check]]&lt;&gt;"OK",
   "",
   T_Channel[[#This Row],[ChannelSymbol]] &amp; ".evtx"
)</f>
        <v/>
      </c>
      <c r="V186" s="20" t="str">
        <f>IF(
   T_Channel[[#This Row],[Check]]&lt;&gt;"OK",
   "",
   T_Channel[[#This Row],[LogFolder]] &amp; "\" &amp; T_Channel[[#This Row],[LogFile]]
)</f>
        <v/>
      </c>
      <c r="W186" s="20" t="str">
        <f>IF(
   T_Channel[[#This Row],[Safekeeping of logs]]="",
   "",
   VLOOKUP(T_Channel[[#This Row],[Safekeeping of logs]],T_List_LogMode[],2,FALSE)
)</f>
        <v/>
      </c>
      <c r="X186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87" spans="2:24" x14ac:dyDescent="0.45">
      <c r="B187" s="7"/>
      <c r="C187" s="7"/>
      <c r="D187" s="5"/>
      <c r="E187" s="5"/>
      <c r="F187" s="6"/>
      <c r="G187" s="6"/>
      <c r="H187" s="6"/>
      <c r="I187" s="6"/>
      <c r="J187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87" s="13"/>
      <c r="L187" s="7"/>
      <c r="M187" s="41"/>
      <c r="N187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87" s="26" t="str">
        <f>IF(
   T_Channel[[#This Row],[ProviderName]]="",
   "",
   COUNTIF($N$12:$N$9982,T_Channel[[#This Row],[ProviderName]])
)</f>
        <v/>
      </c>
      <c r="P187" s="26" t="str">
        <f>IF(
   T_Channel[[#This Row],[Check]]&lt;&gt;"OK",
   "",
   IF(
      T_Channel[[#This Row],[Query]]="",
      "Empty",
      "Defined"
   )
)</f>
        <v/>
      </c>
      <c r="Q187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87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87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8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87" s="20" t="str">
        <f>IF(
   T_Channel[[#This Row],[Check]]&lt;&gt;"OK",
   "",
   T_Channel[[#This Row],[ChannelSymbol]] &amp; ".evtx"
)</f>
        <v/>
      </c>
      <c r="V187" s="20" t="str">
        <f>IF(
   T_Channel[[#This Row],[Check]]&lt;&gt;"OK",
   "",
   T_Channel[[#This Row],[LogFolder]] &amp; "\" &amp; T_Channel[[#This Row],[LogFile]]
)</f>
        <v/>
      </c>
      <c r="W187" s="20" t="str">
        <f>IF(
   T_Channel[[#This Row],[Safekeeping of logs]]="",
   "",
   VLOOKUP(T_Channel[[#This Row],[Safekeeping of logs]],T_List_LogMode[],2,FALSE)
)</f>
        <v/>
      </c>
      <c r="X187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88" spans="2:24" x14ac:dyDescent="0.45">
      <c r="B188" s="7"/>
      <c r="C188" s="7"/>
      <c r="D188" s="5"/>
      <c r="E188" s="5"/>
      <c r="F188" s="6"/>
      <c r="G188" s="6"/>
      <c r="H188" s="6"/>
      <c r="I188" s="6"/>
      <c r="J188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88" s="13"/>
      <c r="L188" s="7"/>
      <c r="M188" s="41"/>
      <c r="N188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88" s="26" t="str">
        <f>IF(
   T_Channel[[#This Row],[ProviderName]]="",
   "",
   COUNTIF($N$12:$N$9982,T_Channel[[#This Row],[ProviderName]])
)</f>
        <v/>
      </c>
      <c r="P188" s="26" t="str">
        <f>IF(
   T_Channel[[#This Row],[Check]]&lt;&gt;"OK",
   "",
   IF(
      T_Channel[[#This Row],[Query]]="",
      "Empty",
      "Defined"
   )
)</f>
        <v/>
      </c>
      <c r="Q188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88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88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8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88" s="20" t="str">
        <f>IF(
   T_Channel[[#This Row],[Check]]&lt;&gt;"OK",
   "",
   T_Channel[[#This Row],[ChannelSymbol]] &amp; ".evtx"
)</f>
        <v/>
      </c>
      <c r="V188" s="20" t="str">
        <f>IF(
   T_Channel[[#This Row],[Check]]&lt;&gt;"OK",
   "",
   T_Channel[[#This Row],[LogFolder]] &amp; "\" &amp; T_Channel[[#This Row],[LogFile]]
)</f>
        <v/>
      </c>
      <c r="W188" s="20" t="str">
        <f>IF(
   T_Channel[[#This Row],[Safekeeping of logs]]="",
   "",
   VLOOKUP(T_Channel[[#This Row],[Safekeeping of logs]],T_List_LogMode[],2,FALSE)
)</f>
        <v/>
      </c>
      <c r="X188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89" spans="2:24" x14ac:dyDescent="0.45">
      <c r="B189" s="7"/>
      <c r="C189" s="7"/>
      <c r="D189" s="5"/>
      <c r="E189" s="5"/>
      <c r="F189" s="6"/>
      <c r="G189" s="6"/>
      <c r="H189" s="6"/>
      <c r="I189" s="6"/>
      <c r="J189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89" s="13"/>
      <c r="L189" s="7"/>
      <c r="M189" s="41"/>
      <c r="N189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89" s="26" t="str">
        <f>IF(
   T_Channel[[#This Row],[ProviderName]]="",
   "",
   COUNTIF($N$12:$N$9982,T_Channel[[#This Row],[ProviderName]])
)</f>
        <v/>
      </c>
      <c r="P189" s="26" t="str">
        <f>IF(
   T_Channel[[#This Row],[Check]]&lt;&gt;"OK",
   "",
   IF(
      T_Channel[[#This Row],[Query]]="",
      "Empty",
      "Defined"
   )
)</f>
        <v/>
      </c>
      <c r="Q189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89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89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8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89" s="20" t="str">
        <f>IF(
   T_Channel[[#This Row],[Check]]&lt;&gt;"OK",
   "",
   T_Channel[[#This Row],[ChannelSymbol]] &amp; ".evtx"
)</f>
        <v/>
      </c>
      <c r="V189" s="20" t="str">
        <f>IF(
   T_Channel[[#This Row],[Check]]&lt;&gt;"OK",
   "",
   T_Channel[[#This Row],[LogFolder]] &amp; "\" &amp; T_Channel[[#This Row],[LogFile]]
)</f>
        <v/>
      </c>
      <c r="W189" s="20" t="str">
        <f>IF(
   T_Channel[[#This Row],[Safekeeping of logs]]="",
   "",
   VLOOKUP(T_Channel[[#This Row],[Safekeeping of logs]],T_List_LogMode[],2,FALSE)
)</f>
        <v/>
      </c>
      <c r="X189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90" spans="2:24" x14ac:dyDescent="0.45">
      <c r="B190" s="7"/>
      <c r="C190" s="7"/>
      <c r="D190" s="5"/>
      <c r="E190" s="5"/>
      <c r="F190" s="6"/>
      <c r="G190" s="6"/>
      <c r="H190" s="6"/>
      <c r="I190" s="6"/>
      <c r="J190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90" s="13"/>
      <c r="L190" s="7"/>
      <c r="M190" s="41"/>
      <c r="N190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90" s="26" t="str">
        <f>IF(
   T_Channel[[#This Row],[ProviderName]]="",
   "",
   COUNTIF($N$12:$N$9982,T_Channel[[#This Row],[ProviderName]])
)</f>
        <v/>
      </c>
      <c r="P190" s="26" t="str">
        <f>IF(
   T_Channel[[#This Row],[Check]]&lt;&gt;"OK",
   "",
   IF(
      T_Channel[[#This Row],[Query]]="",
      "Empty",
      "Defined"
   )
)</f>
        <v/>
      </c>
      <c r="Q190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90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90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9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90" s="20" t="str">
        <f>IF(
   T_Channel[[#This Row],[Check]]&lt;&gt;"OK",
   "",
   T_Channel[[#This Row],[ChannelSymbol]] &amp; ".evtx"
)</f>
        <v/>
      </c>
      <c r="V190" s="20" t="str">
        <f>IF(
   T_Channel[[#This Row],[Check]]&lt;&gt;"OK",
   "",
   T_Channel[[#This Row],[LogFolder]] &amp; "\" &amp; T_Channel[[#This Row],[LogFile]]
)</f>
        <v/>
      </c>
      <c r="W190" s="20" t="str">
        <f>IF(
   T_Channel[[#This Row],[Safekeeping of logs]]="",
   "",
   VLOOKUP(T_Channel[[#This Row],[Safekeeping of logs]],T_List_LogMode[],2,FALSE)
)</f>
        <v/>
      </c>
      <c r="X190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91" spans="2:24" x14ac:dyDescent="0.45">
      <c r="B191" s="7"/>
      <c r="C191" s="7"/>
      <c r="D191" s="5"/>
      <c r="E191" s="5"/>
      <c r="F191" s="6"/>
      <c r="G191" s="6"/>
      <c r="H191" s="6"/>
      <c r="I191" s="6"/>
      <c r="J191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91" s="13"/>
      <c r="L191" s="7"/>
      <c r="M191" s="41"/>
      <c r="N191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91" s="26" t="str">
        <f>IF(
   T_Channel[[#This Row],[ProviderName]]="",
   "",
   COUNTIF($N$12:$N$9982,T_Channel[[#This Row],[ProviderName]])
)</f>
        <v/>
      </c>
      <c r="P191" s="26" t="str">
        <f>IF(
   T_Channel[[#This Row],[Check]]&lt;&gt;"OK",
   "",
   IF(
      T_Channel[[#This Row],[Query]]="",
      "Empty",
      "Defined"
   )
)</f>
        <v/>
      </c>
      <c r="Q191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91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91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9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91" s="20" t="str">
        <f>IF(
   T_Channel[[#This Row],[Check]]&lt;&gt;"OK",
   "",
   T_Channel[[#This Row],[ChannelSymbol]] &amp; ".evtx"
)</f>
        <v/>
      </c>
      <c r="V191" s="20" t="str">
        <f>IF(
   T_Channel[[#This Row],[Check]]&lt;&gt;"OK",
   "",
   T_Channel[[#This Row],[LogFolder]] &amp; "\" &amp; T_Channel[[#This Row],[LogFile]]
)</f>
        <v/>
      </c>
      <c r="W191" s="20" t="str">
        <f>IF(
   T_Channel[[#This Row],[Safekeeping of logs]]="",
   "",
   VLOOKUP(T_Channel[[#This Row],[Safekeeping of logs]],T_List_LogMode[],2,FALSE)
)</f>
        <v/>
      </c>
      <c r="X191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92" spans="2:24" x14ac:dyDescent="0.45">
      <c r="B192" s="7"/>
      <c r="C192" s="7"/>
      <c r="D192" s="5"/>
      <c r="E192" s="5"/>
      <c r="F192" s="6"/>
      <c r="G192" s="6"/>
      <c r="H192" s="6"/>
      <c r="I192" s="6"/>
      <c r="J192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92" s="13"/>
      <c r="L192" s="7"/>
      <c r="M192" s="41"/>
      <c r="N192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92" s="26" t="str">
        <f>IF(
   T_Channel[[#This Row],[ProviderName]]="",
   "",
   COUNTIF($N$12:$N$9982,T_Channel[[#This Row],[ProviderName]])
)</f>
        <v/>
      </c>
      <c r="P192" s="26" t="str">
        <f>IF(
   T_Channel[[#This Row],[Check]]&lt;&gt;"OK",
   "",
   IF(
      T_Channel[[#This Row],[Query]]="",
      "Empty",
      "Defined"
   )
)</f>
        <v/>
      </c>
      <c r="Q192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92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92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9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92" s="20" t="str">
        <f>IF(
   T_Channel[[#This Row],[Check]]&lt;&gt;"OK",
   "",
   T_Channel[[#This Row],[ChannelSymbol]] &amp; ".evtx"
)</f>
        <v/>
      </c>
      <c r="V192" s="20" t="str">
        <f>IF(
   T_Channel[[#This Row],[Check]]&lt;&gt;"OK",
   "",
   T_Channel[[#This Row],[LogFolder]] &amp; "\" &amp; T_Channel[[#This Row],[LogFile]]
)</f>
        <v/>
      </c>
      <c r="W192" s="20" t="str">
        <f>IF(
   T_Channel[[#This Row],[Safekeeping of logs]]="",
   "",
   VLOOKUP(T_Channel[[#This Row],[Safekeeping of logs]],T_List_LogMode[],2,FALSE)
)</f>
        <v/>
      </c>
      <c r="X192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93" spans="2:24" x14ac:dyDescent="0.45">
      <c r="B193" s="7"/>
      <c r="C193" s="7"/>
      <c r="D193" s="5"/>
      <c r="E193" s="5"/>
      <c r="F193" s="6"/>
      <c r="G193" s="6"/>
      <c r="H193" s="6"/>
      <c r="I193" s="6"/>
      <c r="J193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93" s="13"/>
      <c r="L193" s="7"/>
      <c r="M193" s="41"/>
      <c r="N193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93" s="26" t="str">
        <f>IF(
   T_Channel[[#This Row],[ProviderName]]="",
   "",
   COUNTIF($N$12:$N$9982,T_Channel[[#This Row],[ProviderName]])
)</f>
        <v/>
      </c>
      <c r="P193" s="26" t="str">
        <f>IF(
   T_Channel[[#This Row],[Check]]&lt;&gt;"OK",
   "",
   IF(
      T_Channel[[#This Row],[Query]]="",
      "Empty",
      "Defined"
   )
)</f>
        <v/>
      </c>
      <c r="Q193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93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93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9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93" s="20" t="str">
        <f>IF(
   T_Channel[[#This Row],[Check]]&lt;&gt;"OK",
   "",
   T_Channel[[#This Row],[ChannelSymbol]] &amp; ".evtx"
)</f>
        <v/>
      </c>
      <c r="V193" s="20" t="str">
        <f>IF(
   T_Channel[[#This Row],[Check]]&lt;&gt;"OK",
   "",
   T_Channel[[#This Row],[LogFolder]] &amp; "\" &amp; T_Channel[[#This Row],[LogFile]]
)</f>
        <v/>
      </c>
      <c r="W193" s="20" t="str">
        <f>IF(
   T_Channel[[#This Row],[Safekeeping of logs]]="",
   "",
   VLOOKUP(T_Channel[[#This Row],[Safekeeping of logs]],T_List_LogMode[],2,FALSE)
)</f>
        <v/>
      </c>
      <c r="X193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94" spans="2:24" x14ac:dyDescent="0.45">
      <c r="B194" s="7"/>
      <c r="C194" s="5"/>
      <c r="D194" s="5"/>
      <c r="E194" s="5"/>
      <c r="F194" s="6"/>
      <c r="G194" s="6"/>
      <c r="H194" s="6"/>
      <c r="I194" s="6"/>
      <c r="J194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94" s="13"/>
      <c r="L194" s="7"/>
      <c r="M194" s="41"/>
      <c r="N194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94" s="26" t="str">
        <f>IF(
   T_Channel[[#This Row],[ProviderName]]="",
   "",
   COUNTIF($N$12:$N$9982,T_Channel[[#This Row],[ProviderName]])
)</f>
        <v/>
      </c>
      <c r="P194" s="26" t="str">
        <f>IF(
   T_Channel[[#This Row],[Check]]&lt;&gt;"OK",
   "",
   IF(
      T_Channel[[#This Row],[Query]]="",
      "Empty",
      "Defined"
   )
)</f>
        <v/>
      </c>
      <c r="Q194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94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94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9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94" s="20" t="str">
        <f>IF(
   T_Channel[[#This Row],[Check]]&lt;&gt;"OK",
   "",
   T_Channel[[#This Row],[ChannelSymbol]] &amp; ".evtx"
)</f>
        <v/>
      </c>
      <c r="V194" s="20" t="str">
        <f>IF(
   T_Channel[[#This Row],[Check]]&lt;&gt;"OK",
   "",
   T_Channel[[#This Row],[LogFolder]] &amp; "\" &amp; T_Channel[[#This Row],[LogFile]]
)</f>
        <v/>
      </c>
      <c r="W194" s="20" t="str">
        <f>IF(
   T_Channel[[#This Row],[Safekeeping of logs]]="",
   "",
   VLOOKUP(T_Channel[[#This Row],[Safekeeping of logs]],T_List_LogMode[],2,FALSE)
)</f>
        <v/>
      </c>
      <c r="X194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95" spans="2:24" x14ac:dyDescent="0.45">
      <c r="B195" s="7"/>
      <c r="C195" s="5"/>
      <c r="D195" s="5"/>
      <c r="E195" s="5"/>
      <c r="F195" s="6"/>
      <c r="G195" s="6"/>
      <c r="H195" s="6"/>
      <c r="I195" s="6"/>
      <c r="J195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95" s="13"/>
      <c r="L195" s="7"/>
      <c r="M195" s="41"/>
      <c r="N195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95" s="26" t="str">
        <f>IF(
   T_Channel[[#This Row],[ProviderName]]="",
   "",
   COUNTIF($N$12:$N$9982,T_Channel[[#This Row],[ProviderName]])
)</f>
        <v/>
      </c>
      <c r="P195" s="26" t="str">
        <f>IF(
   T_Channel[[#This Row],[Check]]&lt;&gt;"OK",
   "",
   IF(
      T_Channel[[#This Row],[Query]]="",
      "Empty",
      "Defined"
   )
)</f>
        <v/>
      </c>
      <c r="Q195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95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95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9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95" s="20" t="str">
        <f>IF(
   T_Channel[[#This Row],[Check]]&lt;&gt;"OK",
   "",
   T_Channel[[#This Row],[ChannelSymbol]] &amp; ".evtx"
)</f>
        <v/>
      </c>
      <c r="V195" s="20" t="str">
        <f>IF(
   T_Channel[[#This Row],[Check]]&lt;&gt;"OK",
   "",
   T_Channel[[#This Row],[LogFolder]] &amp; "\" &amp; T_Channel[[#This Row],[LogFile]]
)</f>
        <v/>
      </c>
      <c r="W195" s="20" t="str">
        <f>IF(
   T_Channel[[#This Row],[Safekeeping of logs]]="",
   "",
   VLOOKUP(T_Channel[[#This Row],[Safekeeping of logs]],T_List_LogMode[],2,FALSE)
)</f>
        <v/>
      </c>
      <c r="X195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96" spans="2:24" x14ac:dyDescent="0.45">
      <c r="B196" s="7"/>
      <c r="C196" s="5"/>
      <c r="D196" s="5"/>
      <c r="E196" s="5"/>
      <c r="F196" s="6"/>
      <c r="G196" s="6"/>
      <c r="H196" s="6"/>
      <c r="I196" s="6"/>
      <c r="J196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96" s="13"/>
      <c r="L196" s="7"/>
      <c r="M196" s="41"/>
      <c r="N196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96" s="26" t="str">
        <f>IF(
   T_Channel[[#This Row],[ProviderName]]="",
   "",
   COUNTIF($N$12:$N$9982,T_Channel[[#This Row],[ProviderName]])
)</f>
        <v/>
      </c>
      <c r="P196" s="26" t="str">
        <f>IF(
   T_Channel[[#This Row],[Check]]&lt;&gt;"OK",
   "",
   IF(
      T_Channel[[#This Row],[Query]]="",
      "Empty",
      "Defined"
   )
)</f>
        <v/>
      </c>
      <c r="Q196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96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96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9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96" s="20" t="str">
        <f>IF(
   T_Channel[[#This Row],[Check]]&lt;&gt;"OK",
   "",
   T_Channel[[#This Row],[ChannelSymbol]] &amp; ".evtx"
)</f>
        <v/>
      </c>
      <c r="V196" s="20" t="str">
        <f>IF(
   T_Channel[[#This Row],[Check]]&lt;&gt;"OK",
   "",
   T_Channel[[#This Row],[LogFolder]] &amp; "\" &amp; T_Channel[[#This Row],[LogFile]]
)</f>
        <v/>
      </c>
      <c r="W196" s="20" t="str">
        <f>IF(
   T_Channel[[#This Row],[Safekeeping of logs]]="",
   "",
   VLOOKUP(T_Channel[[#This Row],[Safekeeping of logs]],T_List_LogMode[],2,FALSE)
)</f>
        <v/>
      </c>
      <c r="X196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97" spans="2:24" x14ac:dyDescent="0.45">
      <c r="B197" s="7"/>
      <c r="C197" s="5"/>
      <c r="D197" s="5"/>
      <c r="E197" s="5"/>
      <c r="F197" s="6"/>
      <c r="G197" s="6"/>
      <c r="H197" s="6"/>
      <c r="I197" s="6"/>
      <c r="J197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97" s="13"/>
      <c r="L197" s="7"/>
      <c r="M197" s="41"/>
      <c r="N197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97" s="26" t="str">
        <f>IF(
   T_Channel[[#This Row],[ProviderName]]="",
   "",
   COUNTIF($N$12:$N$9982,T_Channel[[#This Row],[ProviderName]])
)</f>
        <v/>
      </c>
      <c r="P197" s="26" t="str">
        <f>IF(
   T_Channel[[#This Row],[Check]]&lt;&gt;"OK",
   "",
   IF(
      T_Channel[[#This Row],[Query]]="",
      "Empty",
      "Defined"
   )
)</f>
        <v/>
      </c>
      <c r="Q197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97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97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9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97" s="20" t="str">
        <f>IF(
   T_Channel[[#This Row],[Check]]&lt;&gt;"OK",
   "",
   T_Channel[[#This Row],[ChannelSymbol]] &amp; ".evtx"
)</f>
        <v/>
      </c>
      <c r="V197" s="20" t="str">
        <f>IF(
   T_Channel[[#This Row],[Check]]&lt;&gt;"OK",
   "",
   T_Channel[[#This Row],[LogFolder]] &amp; "\" &amp; T_Channel[[#This Row],[LogFile]]
)</f>
        <v/>
      </c>
      <c r="W197" s="20" t="str">
        <f>IF(
   T_Channel[[#This Row],[Safekeeping of logs]]="",
   "",
   VLOOKUP(T_Channel[[#This Row],[Safekeeping of logs]],T_List_LogMode[],2,FALSE)
)</f>
        <v/>
      </c>
      <c r="X197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98" spans="2:24" x14ac:dyDescent="0.45">
      <c r="B198" s="7"/>
      <c r="C198" s="5"/>
      <c r="D198" s="5"/>
      <c r="E198" s="5"/>
      <c r="F198" s="6"/>
      <c r="G198" s="6"/>
      <c r="H198" s="6"/>
      <c r="I198" s="6"/>
      <c r="J198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98" s="13"/>
      <c r="L198" s="7"/>
      <c r="M198" s="41"/>
      <c r="N198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98" s="26" t="str">
        <f>IF(
   T_Channel[[#This Row],[ProviderName]]="",
   "",
   COUNTIF($N$12:$N$9982,T_Channel[[#This Row],[ProviderName]])
)</f>
        <v/>
      </c>
      <c r="P198" s="26" t="str">
        <f>IF(
   T_Channel[[#This Row],[Check]]&lt;&gt;"OK",
   "",
   IF(
      T_Channel[[#This Row],[Query]]="",
      "Empty",
      "Defined"
   )
)</f>
        <v/>
      </c>
      <c r="Q198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98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98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9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98" s="20" t="str">
        <f>IF(
   T_Channel[[#This Row],[Check]]&lt;&gt;"OK",
   "",
   T_Channel[[#This Row],[ChannelSymbol]] &amp; ".evtx"
)</f>
        <v/>
      </c>
      <c r="V198" s="20" t="str">
        <f>IF(
   T_Channel[[#This Row],[Check]]&lt;&gt;"OK",
   "",
   T_Channel[[#This Row],[LogFolder]] &amp; "\" &amp; T_Channel[[#This Row],[LogFile]]
)</f>
        <v/>
      </c>
      <c r="W198" s="20" t="str">
        <f>IF(
   T_Channel[[#This Row],[Safekeeping of logs]]="",
   "",
   VLOOKUP(T_Channel[[#This Row],[Safekeeping of logs]],T_List_LogMode[],2,FALSE)
)</f>
        <v/>
      </c>
      <c r="X198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99" spans="2:24" x14ac:dyDescent="0.45">
      <c r="B199" s="7"/>
      <c r="C199" s="5"/>
      <c r="D199" s="5"/>
      <c r="E199" s="5"/>
      <c r="F199" s="6"/>
      <c r="G199" s="6"/>
      <c r="H199" s="6"/>
      <c r="I199" s="6"/>
      <c r="J199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99" s="13"/>
      <c r="L199" s="7"/>
      <c r="M199" s="41"/>
      <c r="N199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99" s="26" t="str">
        <f>IF(
   T_Channel[[#This Row],[ProviderName]]="",
   "",
   COUNTIF($N$12:$N$9982,T_Channel[[#This Row],[ProviderName]])
)</f>
        <v/>
      </c>
      <c r="P199" s="26" t="str">
        <f>IF(
   T_Channel[[#This Row],[Check]]&lt;&gt;"OK",
   "",
   IF(
      T_Channel[[#This Row],[Query]]="",
      "Empty",
      "Defined"
   )
)</f>
        <v/>
      </c>
      <c r="Q199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99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99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9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99" s="20" t="str">
        <f>IF(
   T_Channel[[#This Row],[Check]]&lt;&gt;"OK",
   "",
   T_Channel[[#This Row],[ChannelSymbol]] &amp; ".evtx"
)</f>
        <v/>
      </c>
      <c r="V199" s="20" t="str">
        <f>IF(
   T_Channel[[#This Row],[Check]]&lt;&gt;"OK",
   "",
   T_Channel[[#This Row],[LogFolder]] &amp; "\" &amp; T_Channel[[#This Row],[LogFile]]
)</f>
        <v/>
      </c>
      <c r="W199" s="20" t="str">
        <f>IF(
   T_Channel[[#This Row],[Safekeeping of logs]]="",
   "",
   VLOOKUP(T_Channel[[#This Row],[Safekeeping of logs]],T_List_LogMode[],2,FALSE)
)</f>
        <v/>
      </c>
      <c r="X199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200" spans="2:24" x14ac:dyDescent="0.45">
      <c r="B200" s="7"/>
      <c r="C200" s="5"/>
      <c r="D200" s="5"/>
      <c r="E200" s="5"/>
      <c r="F200" s="6"/>
      <c r="G200" s="6"/>
      <c r="H200" s="6"/>
      <c r="I200" s="6"/>
      <c r="J200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200" s="13"/>
      <c r="L200" s="7"/>
      <c r="M200" s="41"/>
      <c r="N200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200" s="26" t="str">
        <f>IF(
   T_Channel[[#This Row],[ProviderName]]="",
   "",
   COUNTIF($N$12:$N$9982,T_Channel[[#This Row],[ProviderName]])
)</f>
        <v/>
      </c>
      <c r="P200" s="26" t="str">
        <f>IF(
   T_Channel[[#This Row],[Check]]&lt;&gt;"OK",
   "",
   IF(
      T_Channel[[#This Row],[Query]]="",
      "Empty",
      "Defined"
   )
)</f>
        <v/>
      </c>
      <c r="Q200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200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200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20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200" s="20" t="str">
        <f>IF(
   T_Channel[[#This Row],[Check]]&lt;&gt;"OK",
   "",
   T_Channel[[#This Row],[ChannelSymbol]] &amp; ".evtx"
)</f>
        <v/>
      </c>
      <c r="V200" s="20" t="str">
        <f>IF(
   T_Channel[[#This Row],[Check]]&lt;&gt;"OK",
   "",
   T_Channel[[#This Row],[LogFolder]] &amp; "\" &amp; T_Channel[[#This Row],[LogFile]]
)</f>
        <v/>
      </c>
      <c r="W200" s="20" t="str">
        <f>IF(
   T_Channel[[#This Row],[Safekeeping of logs]]="",
   "",
   VLOOKUP(T_Channel[[#This Row],[Safekeeping of logs]],T_List_LogMode[],2,FALSE)
)</f>
        <v/>
      </c>
      <c r="X200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201" spans="2:24" x14ac:dyDescent="0.45">
      <c r="B201" s="7"/>
      <c r="C201" s="5"/>
      <c r="D201" s="5"/>
      <c r="E201" s="5"/>
      <c r="F201" s="6"/>
      <c r="G201" s="6"/>
      <c r="H201" s="6"/>
      <c r="I201" s="6"/>
      <c r="J201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201" s="13"/>
      <c r="L201" s="7"/>
      <c r="M201" s="41"/>
      <c r="N201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201" s="26" t="str">
        <f>IF(
   T_Channel[[#This Row],[ProviderName]]="",
   "",
   COUNTIF($N$12:$N$9982,T_Channel[[#This Row],[ProviderName]])
)</f>
        <v/>
      </c>
      <c r="P201" s="26" t="str">
        <f>IF(
   T_Channel[[#This Row],[Check]]&lt;&gt;"OK",
   "",
   IF(
      T_Channel[[#This Row],[Query]]="",
      "Empty",
      "Defined"
   )
)</f>
        <v/>
      </c>
      <c r="Q201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201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201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20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201" s="20" t="str">
        <f>IF(
   T_Channel[[#This Row],[Check]]&lt;&gt;"OK",
   "",
   T_Channel[[#This Row],[ChannelSymbol]] &amp; ".evtx"
)</f>
        <v/>
      </c>
      <c r="V201" s="20" t="str">
        <f>IF(
   T_Channel[[#This Row],[Check]]&lt;&gt;"OK",
   "",
   T_Channel[[#This Row],[LogFolder]] &amp; "\" &amp; T_Channel[[#This Row],[LogFile]]
)</f>
        <v/>
      </c>
      <c r="W201" s="20" t="str">
        <f>IF(
   T_Channel[[#This Row],[Safekeeping of logs]]="",
   "",
   VLOOKUP(T_Channel[[#This Row],[Safekeeping of logs]],T_List_LogMode[],2,FALSE)
)</f>
        <v/>
      </c>
      <c r="X201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202" spans="2:24" x14ac:dyDescent="0.45">
      <c r="B202" s="7"/>
      <c r="C202" s="5"/>
      <c r="D202" s="5"/>
      <c r="E202" s="5"/>
      <c r="F202" s="6"/>
      <c r="G202" s="6"/>
      <c r="H202" s="6"/>
      <c r="I202" s="6"/>
      <c r="J202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202" s="13"/>
      <c r="L202" s="7"/>
      <c r="M202" s="41"/>
      <c r="N202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202" s="26" t="str">
        <f>IF(
   T_Channel[[#This Row],[ProviderName]]="",
   "",
   COUNTIF($N$12:$N$9982,T_Channel[[#This Row],[ProviderName]])
)</f>
        <v/>
      </c>
      <c r="P202" s="26" t="str">
        <f>IF(
   T_Channel[[#This Row],[Check]]&lt;&gt;"OK",
   "",
   IF(
      T_Channel[[#This Row],[Query]]="",
      "Empty",
      "Defined"
   )
)</f>
        <v/>
      </c>
      <c r="Q202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202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202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20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202" s="20" t="str">
        <f>IF(
   T_Channel[[#This Row],[Check]]&lt;&gt;"OK",
   "",
   T_Channel[[#This Row],[ChannelSymbol]] &amp; ".evtx"
)</f>
        <v/>
      </c>
      <c r="V202" s="20" t="str">
        <f>IF(
   T_Channel[[#This Row],[Check]]&lt;&gt;"OK",
   "",
   T_Channel[[#This Row],[LogFolder]] &amp; "\" &amp; T_Channel[[#This Row],[LogFile]]
)</f>
        <v/>
      </c>
      <c r="W202" s="20" t="str">
        <f>IF(
   T_Channel[[#This Row],[Safekeeping of logs]]="",
   "",
   VLOOKUP(T_Channel[[#This Row],[Safekeeping of logs]],T_List_LogMode[],2,FALSE)
)</f>
        <v/>
      </c>
      <c r="X202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203" spans="2:24" x14ac:dyDescent="0.45">
      <c r="B203" s="7"/>
      <c r="C203" s="5"/>
      <c r="D203" s="5"/>
      <c r="E203" s="5"/>
      <c r="F203" s="6"/>
      <c r="G203" s="6"/>
      <c r="H203" s="6"/>
      <c r="I203" s="6"/>
      <c r="J203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203" s="13"/>
      <c r="L203" s="7"/>
      <c r="M203" s="41"/>
      <c r="N203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203" s="26" t="str">
        <f>IF(
   T_Channel[[#This Row],[ProviderName]]="",
   "",
   COUNTIF($N$12:$N$9982,T_Channel[[#This Row],[ProviderName]])
)</f>
        <v/>
      </c>
      <c r="P203" s="26" t="str">
        <f>IF(
   T_Channel[[#This Row],[Check]]&lt;&gt;"OK",
   "",
   IF(
      T_Channel[[#This Row],[Query]]="",
      "Empty",
      "Defined"
   )
)</f>
        <v/>
      </c>
      <c r="Q203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203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203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20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203" s="20" t="str">
        <f>IF(
   T_Channel[[#This Row],[Check]]&lt;&gt;"OK",
   "",
   T_Channel[[#This Row],[ChannelSymbol]] &amp; ".evtx"
)</f>
        <v/>
      </c>
      <c r="V203" s="20" t="str">
        <f>IF(
   T_Channel[[#This Row],[Check]]&lt;&gt;"OK",
   "",
   T_Channel[[#This Row],[LogFolder]] &amp; "\" &amp; T_Channel[[#This Row],[LogFile]]
)</f>
        <v/>
      </c>
      <c r="W203" s="20" t="str">
        <f>IF(
   T_Channel[[#This Row],[Safekeeping of logs]]="",
   "",
   VLOOKUP(T_Channel[[#This Row],[Safekeeping of logs]],T_List_LogMode[],2,FALSE)
)</f>
        <v/>
      </c>
      <c r="X203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204" spans="2:24" x14ac:dyDescent="0.45">
      <c r="B204" s="7"/>
      <c r="C204" s="5"/>
      <c r="D204" s="5"/>
      <c r="E204" s="5"/>
      <c r="F204" s="6"/>
      <c r="G204" s="6"/>
      <c r="H204" s="6"/>
      <c r="I204" s="6"/>
      <c r="J204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204" s="13"/>
      <c r="L204" s="7"/>
      <c r="M204" s="41"/>
      <c r="N204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204" s="26" t="str">
        <f>IF(
   T_Channel[[#This Row],[ProviderName]]="",
   "",
   COUNTIF($N$12:$N$9982,T_Channel[[#This Row],[ProviderName]])
)</f>
        <v/>
      </c>
      <c r="P204" s="26" t="str">
        <f>IF(
   T_Channel[[#This Row],[Check]]&lt;&gt;"OK",
   "",
   IF(
      T_Channel[[#This Row],[Query]]="",
      "Empty",
      "Defined"
   )
)</f>
        <v/>
      </c>
      <c r="Q204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204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204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20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204" s="20" t="str">
        <f>IF(
   T_Channel[[#This Row],[Check]]&lt;&gt;"OK",
   "",
   T_Channel[[#This Row],[ChannelSymbol]] &amp; ".evtx"
)</f>
        <v/>
      </c>
      <c r="V204" s="20" t="str">
        <f>IF(
   T_Channel[[#This Row],[Check]]&lt;&gt;"OK",
   "",
   T_Channel[[#This Row],[LogFolder]] &amp; "\" &amp; T_Channel[[#This Row],[LogFile]]
)</f>
        <v/>
      </c>
      <c r="W204" s="20" t="str">
        <f>IF(
   T_Channel[[#This Row],[Safekeeping of logs]]="",
   "",
   VLOOKUP(T_Channel[[#This Row],[Safekeeping of logs]],T_List_LogMode[],2,FALSE)
)</f>
        <v/>
      </c>
      <c r="X204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205" spans="2:24" x14ac:dyDescent="0.45">
      <c r="B205" s="7"/>
      <c r="C205" s="5"/>
      <c r="D205" s="5"/>
      <c r="E205" s="5"/>
      <c r="F205" s="6"/>
      <c r="G205" s="6"/>
      <c r="H205" s="6"/>
      <c r="I205" s="6"/>
      <c r="J205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205" s="13"/>
      <c r="L205" s="7"/>
      <c r="M205" s="41"/>
      <c r="N205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205" s="26" t="str">
        <f>IF(
   T_Channel[[#This Row],[ProviderName]]="",
   "",
   COUNTIF($N$12:$N$9982,T_Channel[[#This Row],[ProviderName]])
)</f>
        <v/>
      </c>
      <c r="P205" s="26" t="str">
        <f>IF(
   T_Channel[[#This Row],[Check]]&lt;&gt;"OK",
   "",
   IF(
      T_Channel[[#This Row],[Query]]="",
      "Empty",
      "Defined"
   )
)</f>
        <v/>
      </c>
      <c r="Q205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205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205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20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205" s="20" t="str">
        <f>IF(
   T_Channel[[#This Row],[Check]]&lt;&gt;"OK",
   "",
   T_Channel[[#This Row],[ChannelSymbol]] &amp; ".evtx"
)</f>
        <v/>
      </c>
      <c r="V205" s="20" t="str">
        <f>IF(
   T_Channel[[#This Row],[Check]]&lt;&gt;"OK",
   "",
   T_Channel[[#This Row],[LogFolder]] &amp; "\" &amp; T_Channel[[#This Row],[LogFile]]
)</f>
        <v/>
      </c>
      <c r="W205" s="20" t="str">
        <f>IF(
   T_Channel[[#This Row],[Safekeeping of logs]]="",
   "",
   VLOOKUP(T_Channel[[#This Row],[Safekeeping of logs]],T_List_LogMode[],2,FALSE)
)</f>
        <v/>
      </c>
      <c r="X205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206" spans="2:24" x14ac:dyDescent="0.45">
      <c r="B206" s="7"/>
      <c r="C206" s="5"/>
      <c r="D206" s="5"/>
      <c r="E206" s="5"/>
      <c r="F206" s="6"/>
      <c r="G206" s="6"/>
      <c r="H206" s="6"/>
      <c r="I206" s="6"/>
      <c r="J206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206" s="13"/>
      <c r="L206" s="7"/>
      <c r="M206" s="41"/>
      <c r="N206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206" s="26" t="str">
        <f>IF(
   T_Channel[[#This Row],[ProviderName]]="",
   "",
   COUNTIF($N$12:$N$9982,T_Channel[[#This Row],[ProviderName]])
)</f>
        <v/>
      </c>
      <c r="P206" s="26" t="str">
        <f>IF(
   T_Channel[[#This Row],[Check]]&lt;&gt;"OK",
   "",
   IF(
      T_Channel[[#This Row],[Query]]="",
      "Empty",
      "Defined"
   )
)</f>
        <v/>
      </c>
      <c r="Q206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206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206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20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206" s="20" t="str">
        <f>IF(
   T_Channel[[#This Row],[Check]]&lt;&gt;"OK",
   "",
   T_Channel[[#This Row],[ChannelSymbol]] &amp; ".evtx"
)</f>
        <v/>
      </c>
      <c r="V206" s="20" t="str">
        <f>IF(
   T_Channel[[#This Row],[Check]]&lt;&gt;"OK",
   "",
   T_Channel[[#This Row],[LogFolder]] &amp; "\" &amp; T_Channel[[#This Row],[LogFile]]
)</f>
        <v/>
      </c>
      <c r="W206" s="20" t="str">
        <f>IF(
   T_Channel[[#This Row],[Safekeeping of logs]]="",
   "",
   VLOOKUP(T_Channel[[#This Row],[Safekeeping of logs]],T_List_LogMode[],2,FALSE)
)</f>
        <v/>
      </c>
      <c r="X206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207" spans="2:24" x14ac:dyDescent="0.45">
      <c r="B207" s="7"/>
      <c r="C207" s="5"/>
      <c r="D207" s="5"/>
      <c r="E207" s="5"/>
      <c r="F207" s="6"/>
      <c r="G207" s="6"/>
      <c r="H207" s="6"/>
      <c r="I207" s="6"/>
      <c r="J207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207" s="13"/>
      <c r="L207" s="7"/>
      <c r="M207" s="41"/>
      <c r="N207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207" s="26" t="str">
        <f>IF(
   T_Channel[[#This Row],[ProviderName]]="",
   "",
   COUNTIF($N$12:$N$9982,T_Channel[[#This Row],[ProviderName]])
)</f>
        <v/>
      </c>
      <c r="P207" s="26" t="str">
        <f>IF(
   T_Channel[[#This Row],[Check]]&lt;&gt;"OK",
   "",
   IF(
      T_Channel[[#This Row],[Query]]="",
      "Empty",
      "Defined"
   )
)</f>
        <v/>
      </c>
      <c r="Q207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207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207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20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207" s="20" t="str">
        <f>IF(
   T_Channel[[#This Row],[Check]]&lt;&gt;"OK",
   "",
   T_Channel[[#This Row],[ChannelSymbol]] &amp; ".evtx"
)</f>
        <v/>
      </c>
      <c r="V207" s="20" t="str">
        <f>IF(
   T_Channel[[#This Row],[Check]]&lt;&gt;"OK",
   "",
   T_Channel[[#This Row],[LogFolder]] &amp; "\" &amp; T_Channel[[#This Row],[LogFile]]
)</f>
        <v/>
      </c>
      <c r="W207" s="20" t="str">
        <f>IF(
   T_Channel[[#This Row],[Safekeeping of logs]]="",
   "",
   VLOOKUP(T_Channel[[#This Row],[Safekeeping of logs]],T_List_LogMode[],2,FALSE)
)</f>
        <v/>
      </c>
      <c r="X207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208" spans="2:24" x14ac:dyDescent="0.45">
      <c r="B208" s="7"/>
      <c r="C208" s="5"/>
      <c r="D208" s="5"/>
      <c r="E208" s="5"/>
      <c r="F208" s="6"/>
      <c r="G208" s="6"/>
      <c r="H208" s="6"/>
      <c r="I208" s="6"/>
      <c r="J208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208" s="13"/>
      <c r="L208" s="7"/>
      <c r="M208" s="41"/>
      <c r="N208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208" s="26" t="str">
        <f>IF(
   T_Channel[[#This Row],[ProviderName]]="",
   "",
   COUNTIF($N$12:$N$9982,T_Channel[[#This Row],[ProviderName]])
)</f>
        <v/>
      </c>
      <c r="P208" s="26" t="str">
        <f>IF(
   T_Channel[[#This Row],[Check]]&lt;&gt;"OK",
   "",
   IF(
      T_Channel[[#This Row],[Query]]="",
      "Empty",
      "Defined"
   )
)</f>
        <v/>
      </c>
      <c r="Q208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208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208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20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208" s="20" t="str">
        <f>IF(
   T_Channel[[#This Row],[Check]]&lt;&gt;"OK",
   "",
   T_Channel[[#This Row],[ChannelSymbol]] &amp; ".evtx"
)</f>
        <v/>
      </c>
      <c r="V208" s="20" t="str">
        <f>IF(
   T_Channel[[#This Row],[Check]]&lt;&gt;"OK",
   "",
   T_Channel[[#This Row],[LogFolder]] &amp; "\" &amp; T_Channel[[#This Row],[LogFile]]
)</f>
        <v/>
      </c>
      <c r="W208" s="20" t="str">
        <f>IF(
   T_Channel[[#This Row],[Safekeeping of logs]]="",
   "",
   VLOOKUP(T_Channel[[#This Row],[Safekeeping of logs]],T_List_LogMode[],2,FALSE)
)</f>
        <v/>
      </c>
      <c r="X208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209" spans="2:24" x14ac:dyDescent="0.45">
      <c r="B209" s="7"/>
      <c r="C209" s="5"/>
      <c r="D209" s="5"/>
      <c r="E209" s="5"/>
      <c r="F209" s="6"/>
      <c r="G209" s="6"/>
      <c r="H209" s="6"/>
      <c r="I209" s="6"/>
      <c r="J209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209" s="13"/>
      <c r="L209" s="7"/>
      <c r="M209" s="41"/>
      <c r="N209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209" s="26" t="str">
        <f>IF(
   T_Channel[[#This Row],[ProviderName]]="",
   "",
   COUNTIF($N$12:$N$9982,T_Channel[[#This Row],[ProviderName]])
)</f>
        <v/>
      </c>
      <c r="P209" s="26" t="str">
        <f>IF(
   T_Channel[[#This Row],[Check]]&lt;&gt;"OK",
   "",
   IF(
      T_Channel[[#This Row],[Query]]="",
      "Empty",
      "Defined"
   )
)</f>
        <v/>
      </c>
      <c r="Q209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209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209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20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209" s="20" t="str">
        <f>IF(
   T_Channel[[#This Row],[Check]]&lt;&gt;"OK",
   "",
   T_Channel[[#This Row],[ChannelSymbol]] &amp; ".evtx"
)</f>
        <v/>
      </c>
      <c r="V209" s="20" t="str">
        <f>IF(
   T_Channel[[#This Row],[Check]]&lt;&gt;"OK",
   "",
   T_Channel[[#This Row],[LogFolder]] &amp; "\" &amp; T_Channel[[#This Row],[LogFile]]
)</f>
        <v/>
      </c>
      <c r="W209" s="20" t="str">
        <f>IF(
   T_Channel[[#This Row],[Safekeeping of logs]]="",
   "",
   VLOOKUP(T_Channel[[#This Row],[Safekeeping of logs]],T_List_LogMode[],2,FALSE)
)</f>
        <v/>
      </c>
      <c r="X209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210" spans="2:24" x14ac:dyDescent="0.45">
      <c r="B210" s="7"/>
      <c r="C210" s="5"/>
      <c r="D210" s="5"/>
      <c r="E210" s="5"/>
      <c r="F210" s="6"/>
      <c r="G210" s="6"/>
      <c r="H210" s="6"/>
      <c r="I210" s="6"/>
      <c r="J210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210" s="13"/>
      <c r="L210" s="7"/>
      <c r="M210" s="41"/>
      <c r="N210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210" s="26" t="str">
        <f>IF(
   T_Channel[[#This Row],[ProviderName]]="",
   "",
   COUNTIF($N$12:$N$9982,T_Channel[[#This Row],[ProviderName]])
)</f>
        <v/>
      </c>
      <c r="P210" s="26" t="str">
        <f>IF(
   T_Channel[[#This Row],[Check]]&lt;&gt;"OK",
   "",
   IF(
      T_Channel[[#This Row],[Query]]="",
      "Empty",
      "Defined"
   )
)</f>
        <v/>
      </c>
      <c r="Q210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210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210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21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210" s="20" t="str">
        <f>IF(
   T_Channel[[#This Row],[Check]]&lt;&gt;"OK",
   "",
   T_Channel[[#This Row],[ChannelSymbol]] &amp; ".evtx"
)</f>
        <v/>
      </c>
      <c r="V210" s="20" t="str">
        <f>IF(
   T_Channel[[#This Row],[Check]]&lt;&gt;"OK",
   "",
   T_Channel[[#This Row],[LogFolder]] &amp; "\" &amp; T_Channel[[#This Row],[LogFile]]
)</f>
        <v/>
      </c>
      <c r="W210" s="20" t="str">
        <f>IF(
   T_Channel[[#This Row],[Safekeeping of logs]]="",
   "",
   VLOOKUP(T_Channel[[#This Row],[Safekeeping of logs]],T_List_LogMode[],2,FALSE)
)</f>
        <v/>
      </c>
      <c r="X210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211" spans="2:24" x14ac:dyDescent="0.45">
      <c r="B211" s="7"/>
      <c r="C211" s="5"/>
      <c r="D211" s="5"/>
      <c r="E211" s="5"/>
      <c r="F211" s="6"/>
      <c r="G211" s="6"/>
      <c r="H211" s="6"/>
      <c r="I211" s="6"/>
      <c r="J211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211" s="13"/>
      <c r="L211" s="7"/>
      <c r="M211" s="41"/>
      <c r="N211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211" s="26" t="str">
        <f>IF(
   T_Channel[[#This Row],[ProviderName]]="",
   "",
   COUNTIF($N$12:$N$9982,T_Channel[[#This Row],[ProviderName]])
)</f>
        <v/>
      </c>
      <c r="P211" s="26" t="str">
        <f>IF(
   T_Channel[[#This Row],[Check]]&lt;&gt;"OK",
   "",
   IF(
      T_Channel[[#This Row],[Query]]="",
      "Empty",
      "Defined"
   )
)</f>
        <v/>
      </c>
      <c r="Q211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211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211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21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211" s="20" t="str">
        <f>IF(
   T_Channel[[#This Row],[Check]]&lt;&gt;"OK",
   "",
   T_Channel[[#This Row],[ChannelSymbol]] &amp; ".evtx"
)</f>
        <v/>
      </c>
      <c r="V211" s="20" t="str">
        <f>IF(
   T_Channel[[#This Row],[Check]]&lt;&gt;"OK",
   "",
   T_Channel[[#This Row],[LogFolder]] &amp; "\" &amp; T_Channel[[#This Row],[LogFile]]
)</f>
        <v/>
      </c>
      <c r="W211" s="20" t="str">
        <f>IF(
   T_Channel[[#This Row],[Safekeeping of logs]]="",
   "",
   VLOOKUP(T_Channel[[#This Row],[Safekeeping of logs]],T_List_LogMode[],2,FALSE)
)</f>
        <v/>
      </c>
      <c r="X211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212" spans="2:24" x14ac:dyDescent="0.45">
      <c r="B212" s="7"/>
      <c r="C212" s="5"/>
      <c r="D212" s="5"/>
      <c r="E212" s="5"/>
      <c r="F212" s="6"/>
      <c r="G212" s="6"/>
      <c r="H212" s="6"/>
      <c r="I212" s="6"/>
      <c r="J212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212" s="13"/>
      <c r="L212" s="7"/>
      <c r="M212" s="41"/>
      <c r="N212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212" s="26" t="str">
        <f>IF(
   T_Channel[[#This Row],[ProviderName]]="",
   "",
   COUNTIF($N$12:$N$9982,T_Channel[[#This Row],[ProviderName]])
)</f>
        <v/>
      </c>
      <c r="P212" s="26" t="str">
        <f>IF(
   T_Channel[[#This Row],[Check]]&lt;&gt;"OK",
   "",
   IF(
      T_Channel[[#This Row],[Query]]="",
      "Empty",
      "Defined"
   )
)</f>
        <v/>
      </c>
      <c r="Q212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212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212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21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212" s="20" t="str">
        <f>IF(
   T_Channel[[#This Row],[Check]]&lt;&gt;"OK",
   "",
   T_Channel[[#This Row],[ChannelSymbol]] &amp; ".evtx"
)</f>
        <v/>
      </c>
      <c r="V212" s="20" t="str">
        <f>IF(
   T_Channel[[#This Row],[Check]]&lt;&gt;"OK",
   "",
   T_Channel[[#This Row],[LogFolder]] &amp; "\" &amp; T_Channel[[#This Row],[LogFile]]
)</f>
        <v/>
      </c>
      <c r="W212" s="20" t="str">
        <f>IF(
   T_Channel[[#This Row],[Safekeeping of logs]]="",
   "",
   VLOOKUP(T_Channel[[#This Row],[Safekeeping of logs]],T_List_LogMode[],2,FALSE)
)</f>
        <v/>
      </c>
      <c r="X212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213" spans="2:24" x14ac:dyDescent="0.45">
      <c r="B213" s="7"/>
      <c r="C213" s="5"/>
      <c r="D213" s="5"/>
      <c r="E213" s="5"/>
      <c r="F213" s="6"/>
      <c r="G213" s="6"/>
      <c r="H213" s="6"/>
      <c r="I213" s="6"/>
      <c r="J213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213" s="13"/>
      <c r="L213" s="7"/>
      <c r="M213" s="41"/>
      <c r="N213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213" s="26" t="str">
        <f>IF(
   T_Channel[[#This Row],[ProviderName]]="",
   "",
   COUNTIF($N$12:$N$9982,T_Channel[[#This Row],[ProviderName]])
)</f>
        <v/>
      </c>
      <c r="P213" s="26" t="str">
        <f>IF(
   T_Channel[[#This Row],[Check]]&lt;&gt;"OK",
   "",
   IF(
      T_Channel[[#This Row],[Query]]="",
      "Empty",
      "Defined"
   )
)</f>
        <v/>
      </c>
      <c r="Q213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213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213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21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213" s="20" t="str">
        <f>IF(
   T_Channel[[#This Row],[Check]]&lt;&gt;"OK",
   "",
   T_Channel[[#This Row],[ChannelSymbol]] &amp; ".evtx"
)</f>
        <v/>
      </c>
      <c r="V213" s="20" t="str">
        <f>IF(
   T_Channel[[#This Row],[Check]]&lt;&gt;"OK",
   "",
   T_Channel[[#This Row],[LogFolder]] &amp; "\" &amp; T_Channel[[#This Row],[LogFile]]
)</f>
        <v/>
      </c>
      <c r="W213" s="20" t="str">
        <f>IF(
   T_Channel[[#This Row],[Safekeeping of logs]]="",
   "",
   VLOOKUP(T_Channel[[#This Row],[Safekeeping of logs]],T_List_LogMode[],2,FALSE)
)</f>
        <v/>
      </c>
      <c r="X213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214" spans="2:24" x14ac:dyDescent="0.45">
      <c r="B214" s="7"/>
      <c r="C214" s="5"/>
      <c r="D214" s="5"/>
      <c r="E214" s="5"/>
      <c r="F214" s="6"/>
      <c r="G214" s="6"/>
      <c r="H214" s="6"/>
      <c r="I214" s="6"/>
      <c r="J214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214" s="13"/>
      <c r="L214" s="7"/>
      <c r="M214" s="41"/>
      <c r="N214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214" s="26" t="str">
        <f>IF(
   T_Channel[[#This Row],[ProviderName]]="",
   "",
   COUNTIF($N$12:$N$9982,T_Channel[[#This Row],[ProviderName]])
)</f>
        <v/>
      </c>
      <c r="P214" s="26" t="str">
        <f>IF(
   T_Channel[[#This Row],[Check]]&lt;&gt;"OK",
   "",
   IF(
      T_Channel[[#This Row],[Query]]="",
      "Empty",
      "Defined"
   )
)</f>
        <v/>
      </c>
      <c r="Q214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214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214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21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214" s="20" t="str">
        <f>IF(
   T_Channel[[#This Row],[Check]]&lt;&gt;"OK",
   "",
   T_Channel[[#This Row],[ChannelSymbol]] &amp; ".evtx"
)</f>
        <v/>
      </c>
      <c r="V214" s="20" t="str">
        <f>IF(
   T_Channel[[#This Row],[Check]]&lt;&gt;"OK",
   "",
   T_Channel[[#This Row],[LogFolder]] &amp; "\" &amp; T_Channel[[#This Row],[LogFile]]
)</f>
        <v/>
      </c>
      <c r="W214" s="20" t="str">
        <f>IF(
   T_Channel[[#This Row],[Safekeeping of logs]]="",
   "",
   VLOOKUP(T_Channel[[#This Row],[Safekeeping of logs]],T_List_LogMode[],2,FALSE)
)</f>
        <v/>
      </c>
      <c r="X214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215" spans="2:24" x14ac:dyDescent="0.45">
      <c r="B215" s="7"/>
      <c r="C215" s="5"/>
      <c r="D215" s="5"/>
      <c r="E215" s="5"/>
      <c r="F215" s="6"/>
      <c r="G215" s="6"/>
      <c r="H215" s="6"/>
      <c r="I215" s="6"/>
      <c r="J215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215" s="13"/>
      <c r="L215" s="7"/>
      <c r="M215" s="41"/>
      <c r="N215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215" s="26" t="str">
        <f>IF(
   T_Channel[[#This Row],[ProviderName]]="",
   "",
   COUNTIF($N$12:$N$9982,T_Channel[[#This Row],[ProviderName]])
)</f>
        <v/>
      </c>
      <c r="P215" s="26" t="str">
        <f>IF(
   T_Channel[[#This Row],[Check]]&lt;&gt;"OK",
   "",
   IF(
      T_Channel[[#This Row],[Query]]="",
      "Empty",
      "Defined"
   )
)</f>
        <v/>
      </c>
      <c r="Q215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215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215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21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215" s="20" t="str">
        <f>IF(
   T_Channel[[#This Row],[Check]]&lt;&gt;"OK",
   "",
   T_Channel[[#This Row],[ChannelSymbol]] &amp; ".evtx"
)</f>
        <v/>
      </c>
      <c r="V215" s="20" t="str">
        <f>IF(
   T_Channel[[#This Row],[Check]]&lt;&gt;"OK",
   "",
   T_Channel[[#This Row],[LogFolder]] &amp; "\" &amp; T_Channel[[#This Row],[LogFile]]
)</f>
        <v/>
      </c>
      <c r="W215" s="20" t="str">
        <f>IF(
   T_Channel[[#This Row],[Safekeeping of logs]]="",
   "",
   VLOOKUP(T_Channel[[#This Row],[Safekeeping of logs]],T_List_LogMode[],2,FALSE)
)</f>
        <v/>
      </c>
      <c r="X215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216" spans="2:24" x14ac:dyDescent="0.45">
      <c r="B216" s="7"/>
      <c r="C216" s="5"/>
      <c r="D216" s="5"/>
      <c r="E216" s="5"/>
      <c r="F216" s="6"/>
      <c r="G216" s="6"/>
      <c r="H216" s="6"/>
      <c r="I216" s="6"/>
      <c r="J216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216" s="13"/>
      <c r="L216" s="7"/>
      <c r="M216" s="41"/>
      <c r="N216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216" s="26" t="str">
        <f>IF(
   T_Channel[[#This Row],[ProviderName]]="",
   "",
   COUNTIF($N$12:$N$9982,T_Channel[[#This Row],[ProviderName]])
)</f>
        <v/>
      </c>
      <c r="P216" s="26" t="str">
        <f>IF(
   T_Channel[[#This Row],[Check]]&lt;&gt;"OK",
   "",
   IF(
      T_Channel[[#This Row],[Query]]="",
      "Empty",
      "Defined"
   )
)</f>
        <v/>
      </c>
      <c r="Q216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216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216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21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216" s="20" t="str">
        <f>IF(
   T_Channel[[#This Row],[Check]]&lt;&gt;"OK",
   "",
   T_Channel[[#This Row],[ChannelSymbol]] &amp; ".evtx"
)</f>
        <v/>
      </c>
      <c r="V216" s="20" t="str">
        <f>IF(
   T_Channel[[#This Row],[Check]]&lt;&gt;"OK",
   "",
   T_Channel[[#This Row],[LogFolder]] &amp; "\" &amp; T_Channel[[#This Row],[LogFile]]
)</f>
        <v/>
      </c>
      <c r="W216" s="20" t="str">
        <f>IF(
   T_Channel[[#This Row],[Safekeeping of logs]]="",
   "",
   VLOOKUP(T_Channel[[#This Row],[Safekeeping of logs]],T_List_LogMode[],2,FALSE)
)</f>
        <v/>
      </c>
      <c r="X216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217" spans="2:24" x14ac:dyDescent="0.45">
      <c r="B217" s="7"/>
      <c r="C217" s="5"/>
      <c r="D217" s="5"/>
      <c r="E217" s="5"/>
      <c r="F217" s="6"/>
      <c r="G217" s="6"/>
      <c r="H217" s="6"/>
      <c r="I217" s="6"/>
      <c r="J217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217" s="13"/>
      <c r="L217" s="7"/>
      <c r="M217" s="41"/>
      <c r="N217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217" s="26" t="str">
        <f>IF(
   T_Channel[[#This Row],[ProviderName]]="",
   "",
   COUNTIF($N$12:$N$9982,T_Channel[[#This Row],[ProviderName]])
)</f>
        <v/>
      </c>
      <c r="P217" s="26" t="str">
        <f>IF(
   T_Channel[[#This Row],[Check]]&lt;&gt;"OK",
   "",
   IF(
      T_Channel[[#This Row],[Query]]="",
      "Empty",
      "Defined"
   )
)</f>
        <v/>
      </c>
      <c r="Q217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217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217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21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217" s="20" t="str">
        <f>IF(
   T_Channel[[#This Row],[Check]]&lt;&gt;"OK",
   "",
   T_Channel[[#This Row],[ChannelSymbol]] &amp; ".evtx"
)</f>
        <v/>
      </c>
      <c r="V217" s="20" t="str">
        <f>IF(
   T_Channel[[#This Row],[Check]]&lt;&gt;"OK",
   "",
   T_Channel[[#This Row],[LogFolder]] &amp; "\" &amp; T_Channel[[#This Row],[LogFile]]
)</f>
        <v/>
      </c>
      <c r="W217" s="20" t="str">
        <f>IF(
   T_Channel[[#This Row],[Safekeeping of logs]]="",
   "",
   VLOOKUP(T_Channel[[#This Row],[Safekeeping of logs]],T_List_LogMode[],2,FALSE)
)</f>
        <v/>
      </c>
      <c r="X217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218" spans="2:24" x14ac:dyDescent="0.45">
      <c r="B218" s="7"/>
      <c r="C218" s="5"/>
      <c r="D218" s="5"/>
      <c r="E218" s="5"/>
      <c r="F218" s="6"/>
      <c r="G218" s="6"/>
      <c r="H218" s="6"/>
      <c r="I218" s="6"/>
      <c r="J218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218" s="13"/>
      <c r="L218" s="7"/>
      <c r="M218" s="41"/>
      <c r="N218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218" s="26" t="str">
        <f>IF(
   T_Channel[[#This Row],[ProviderName]]="",
   "",
   COUNTIF($N$12:$N$9982,T_Channel[[#This Row],[ProviderName]])
)</f>
        <v/>
      </c>
      <c r="P218" s="26" t="str">
        <f>IF(
   T_Channel[[#This Row],[Check]]&lt;&gt;"OK",
   "",
   IF(
      T_Channel[[#This Row],[Query]]="",
      "Empty",
      "Defined"
   )
)</f>
        <v/>
      </c>
      <c r="Q218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218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218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21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218" s="20" t="str">
        <f>IF(
   T_Channel[[#This Row],[Check]]&lt;&gt;"OK",
   "",
   T_Channel[[#This Row],[ChannelSymbol]] &amp; ".evtx"
)</f>
        <v/>
      </c>
      <c r="V218" s="20" t="str">
        <f>IF(
   T_Channel[[#This Row],[Check]]&lt;&gt;"OK",
   "",
   T_Channel[[#This Row],[LogFolder]] &amp; "\" &amp; T_Channel[[#This Row],[LogFile]]
)</f>
        <v/>
      </c>
      <c r="W218" s="20" t="str">
        <f>IF(
   T_Channel[[#This Row],[Safekeeping of logs]]="",
   "",
   VLOOKUP(T_Channel[[#This Row],[Safekeeping of logs]],T_List_LogMode[],2,FALSE)
)</f>
        <v/>
      </c>
      <c r="X218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219" spans="2:24" x14ac:dyDescent="0.45">
      <c r="B219" s="7"/>
      <c r="C219" s="5"/>
      <c r="D219" s="5"/>
      <c r="E219" s="5"/>
      <c r="F219" s="6"/>
      <c r="G219" s="6"/>
      <c r="H219" s="6"/>
      <c r="I219" s="6"/>
      <c r="J219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219" s="13"/>
      <c r="L219" s="7"/>
      <c r="M219" s="41"/>
      <c r="N219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219" s="26" t="str">
        <f>IF(
   T_Channel[[#This Row],[ProviderName]]="",
   "",
   COUNTIF($N$12:$N$9982,T_Channel[[#This Row],[ProviderName]])
)</f>
        <v/>
      </c>
      <c r="P219" s="26" t="str">
        <f>IF(
   T_Channel[[#This Row],[Check]]&lt;&gt;"OK",
   "",
   IF(
      T_Channel[[#This Row],[Query]]="",
      "Empty",
      "Defined"
   )
)</f>
        <v/>
      </c>
      <c r="Q219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219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219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21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219" s="20" t="str">
        <f>IF(
   T_Channel[[#This Row],[Check]]&lt;&gt;"OK",
   "",
   T_Channel[[#This Row],[ChannelSymbol]] &amp; ".evtx"
)</f>
        <v/>
      </c>
      <c r="V219" s="20" t="str">
        <f>IF(
   T_Channel[[#This Row],[Check]]&lt;&gt;"OK",
   "",
   T_Channel[[#This Row],[LogFolder]] &amp; "\" &amp; T_Channel[[#This Row],[LogFile]]
)</f>
        <v/>
      </c>
      <c r="W219" s="20" t="str">
        <f>IF(
   T_Channel[[#This Row],[Safekeeping of logs]]="",
   "",
   VLOOKUP(T_Channel[[#This Row],[Safekeeping of logs]],T_List_LogMode[],2,FALSE)
)</f>
        <v/>
      </c>
      <c r="X219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220" spans="2:24" x14ac:dyDescent="0.45">
      <c r="B220" s="7"/>
      <c r="C220" s="5"/>
      <c r="D220" s="5"/>
      <c r="E220" s="5"/>
      <c r="F220" s="6"/>
      <c r="G220" s="6"/>
      <c r="H220" s="6"/>
      <c r="I220" s="6"/>
      <c r="J220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220" s="13"/>
      <c r="L220" s="7"/>
      <c r="M220" s="41"/>
      <c r="N220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220" s="26" t="str">
        <f>IF(
   T_Channel[[#This Row],[ProviderName]]="",
   "",
   COUNTIF($N$12:$N$9982,T_Channel[[#This Row],[ProviderName]])
)</f>
        <v/>
      </c>
      <c r="P220" s="26" t="str">
        <f>IF(
   T_Channel[[#This Row],[Check]]&lt;&gt;"OK",
   "",
   IF(
      T_Channel[[#This Row],[Query]]="",
      "Empty",
      "Defined"
   )
)</f>
        <v/>
      </c>
      <c r="Q220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220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220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22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220" s="20" t="str">
        <f>IF(
   T_Channel[[#This Row],[Check]]&lt;&gt;"OK",
   "",
   T_Channel[[#This Row],[ChannelSymbol]] &amp; ".evtx"
)</f>
        <v/>
      </c>
      <c r="V220" s="20" t="str">
        <f>IF(
   T_Channel[[#This Row],[Check]]&lt;&gt;"OK",
   "",
   T_Channel[[#This Row],[LogFolder]] &amp; "\" &amp; T_Channel[[#This Row],[LogFile]]
)</f>
        <v/>
      </c>
      <c r="W220" s="20" t="str">
        <f>IF(
   T_Channel[[#This Row],[Safekeeping of logs]]="",
   "",
   VLOOKUP(T_Channel[[#This Row],[Safekeeping of logs]],T_List_LogMode[],2,FALSE)
)</f>
        <v/>
      </c>
      <c r="X220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221" spans="2:24" x14ac:dyDescent="0.45">
      <c r="B221" s="7"/>
      <c r="C221" s="5"/>
      <c r="D221" s="5"/>
      <c r="E221" s="5"/>
      <c r="F221" s="6"/>
      <c r="G221" s="6"/>
      <c r="H221" s="6"/>
      <c r="I221" s="6"/>
      <c r="J221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221" s="13"/>
      <c r="L221" s="7"/>
      <c r="M221" s="41"/>
      <c r="N221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221" s="26" t="str">
        <f>IF(
   T_Channel[[#This Row],[ProviderName]]="",
   "",
   COUNTIF($N$12:$N$9982,T_Channel[[#This Row],[ProviderName]])
)</f>
        <v/>
      </c>
      <c r="P221" s="26" t="str">
        <f>IF(
   T_Channel[[#This Row],[Check]]&lt;&gt;"OK",
   "",
   IF(
      T_Channel[[#This Row],[Query]]="",
      "Empty",
      "Defined"
   )
)</f>
        <v/>
      </c>
      <c r="Q221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221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221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22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221" s="20" t="str">
        <f>IF(
   T_Channel[[#This Row],[Check]]&lt;&gt;"OK",
   "",
   T_Channel[[#This Row],[ChannelSymbol]] &amp; ".evtx"
)</f>
        <v/>
      </c>
      <c r="V221" s="20" t="str">
        <f>IF(
   T_Channel[[#This Row],[Check]]&lt;&gt;"OK",
   "",
   T_Channel[[#This Row],[LogFolder]] &amp; "\" &amp; T_Channel[[#This Row],[LogFile]]
)</f>
        <v/>
      </c>
      <c r="W221" s="20" t="str">
        <f>IF(
   T_Channel[[#This Row],[Safekeeping of logs]]="",
   "",
   VLOOKUP(T_Channel[[#This Row],[Safekeeping of logs]],T_List_LogMode[],2,FALSE)
)</f>
        <v/>
      </c>
      <c r="X221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222" spans="2:24" x14ac:dyDescent="0.45">
      <c r="B222" s="7"/>
      <c r="C222" s="5"/>
      <c r="D222" s="5"/>
      <c r="E222" s="5"/>
      <c r="F222" s="6"/>
      <c r="G222" s="6"/>
      <c r="H222" s="6"/>
      <c r="I222" s="6"/>
      <c r="J222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222" s="13"/>
      <c r="L222" s="7"/>
      <c r="M222" s="41"/>
      <c r="N222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222" s="26" t="str">
        <f>IF(
   T_Channel[[#This Row],[ProviderName]]="",
   "",
   COUNTIF($N$12:$N$9982,T_Channel[[#This Row],[ProviderName]])
)</f>
        <v/>
      </c>
      <c r="P222" s="26" t="str">
        <f>IF(
   T_Channel[[#This Row],[Check]]&lt;&gt;"OK",
   "",
   IF(
      T_Channel[[#This Row],[Query]]="",
      "Empty",
      "Defined"
   )
)</f>
        <v/>
      </c>
      <c r="Q222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222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222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22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222" s="20" t="str">
        <f>IF(
   T_Channel[[#This Row],[Check]]&lt;&gt;"OK",
   "",
   T_Channel[[#This Row],[ChannelSymbol]] &amp; ".evtx"
)</f>
        <v/>
      </c>
      <c r="V222" s="20" t="str">
        <f>IF(
   T_Channel[[#This Row],[Check]]&lt;&gt;"OK",
   "",
   T_Channel[[#This Row],[LogFolder]] &amp; "\" &amp; T_Channel[[#This Row],[LogFile]]
)</f>
        <v/>
      </c>
      <c r="W222" s="20" t="str">
        <f>IF(
   T_Channel[[#This Row],[Safekeeping of logs]]="",
   "",
   VLOOKUP(T_Channel[[#This Row],[Safekeeping of logs]],T_List_LogMode[],2,FALSE)
)</f>
        <v/>
      </c>
      <c r="X222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223" spans="2:24" x14ac:dyDescent="0.45">
      <c r="B223" s="7"/>
      <c r="C223" s="5"/>
      <c r="D223" s="5"/>
      <c r="E223" s="5"/>
      <c r="F223" s="6"/>
      <c r="G223" s="6"/>
      <c r="H223" s="6"/>
      <c r="I223" s="6"/>
      <c r="J223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223" s="13"/>
      <c r="L223" s="7"/>
      <c r="M223" s="41"/>
      <c r="N223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223" s="26" t="str">
        <f>IF(
   T_Channel[[#This Row],[ProviderName]]="",
   "",
   COUNTIF($N$12:$N$9982,T_Channel[[#This Row],[ProviderName]])
)</f>
        <v/>
      </c>
      <c r="P223" s="26" t="str">
        <f>IF(
   T_Channel[[#This Row],[Check]]&lt;&gt;"OK",
   "",
   IF(
      T_Channel[[#This Row],[Query]]="",
      "Empty",
      "Defined"
   )
)</f>
        <v/>
      </c>
      <c r="Q223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223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223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22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223" s="20" t="str">
        <f>IF(
   T_Channel[[#This Row],[Check]]&lt;&gt;"OK",
   "",
   T_Channel[[#This Row],[ChannelSymbol]] &amp; ".evtx"
)</f>
        <v/>
      </c>
      <c r="V223" s="20" t="str">
        <f>IF(
   T_Channel[[#This Row],[Check]]&lt;&gt;"OK",
   "",
   T_Channel[[#This Row],[LogFolder]] &amp; "\" &amp; T_Channel[[#This Row],[LogFile]]
)</f>
        <v/>
      </c>
      <c r="W223" s="20" t="str">
        <f>IF(
   T_Channel[[#This Row],[Safekeeping of logs]]="",
   "",
   VLOOKUP(T_Channel[[#This Row],[Safekeeping of logs]],T_List_LogMode[],2,FALSE)
)</f>
        <v/>
      </c>
      <c r="X223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224" spans="2:24" x14ac:dyDescent="0.45">
      <c r="B224" s="7"/>
      <c r="C224" s="5"/>
      <c r="D224" s="5"/>
      <c r="E224" s="5"/>
      <c r="F224" s="6"/>
      <c r="G224" s="6"/>
      <c r="H224" s="6"/>
      <c r="I224" s="6"/>
      <c r="J224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224" s="13"/>
      <c r="L224" s="7"/>
      <c r="M224" s="41"/>
      <c r="N224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224" s="26" t="str">
        <f>IF(
   T_Channel[[#This Row],[ProviderName]]="",
   "",
   COUNTIF($N$12:$N$9982,T_Channel[[#This Row],[ProviderName]])
)</f>
        <v/>
      </c>
      <c r="P224" s="26" t="str">
        <f>IF(
   T_Channel[[#This Row],[Check]]&lt;&gt;"OK",
   "",
   IF(
      T_Channel[[#This Row],[Query]]="",
      "Empty",
      "Defined"
   )
)</f>
        <v/>
      </c>
      <c r="Q224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224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224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22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224" s="20" t="str">
        <f>IF(
   T_Channel[[#This Row],[Check]]&lt;&gt;"OK",
   "",
   T_Channel[[#This Row],[ChannelSymbol]] &amp; ".evtx"
)</f>
        <v/>
      </c>
      <c r="V224" s="20" t="str">
        <f>IF(
   T_Channel[[#This Row],[Check]]&lt;&gt;"OK",
   "",
   T_Channel[[#This Row],[LogFolder]] &amp; "\" &amp; T_Channel[[#This Row],[LogFile]]
)</f>
        <v/>
      </c>
      <c r="W224" s="20" t="str">
        <f>IF(
   T_Channel[[#This Row],[Safekeeping of logs]]="",
   "",
   VLOOKUP(T_Channel[[#This Row],[Safekeeping of logs]],T_List_LogMode[],2,FALSE)
)</f>
        <v/>
      </c>
      <c r="X224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225" spans="2:24" x14ac:dyDescent="0.45">
      <c r="B225" s="7"/>
      <c r="C225" s="5"/>
      <c r="D225" s="5"/>
      <c r="E225" s="5"/>
      <c r="F225" s="6"/>
      <c r="G225" s="6"/>
      <c r="H225" s="6"/>
      <c r="I225" s="6"/>
      <c r="J225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225" s="13"/>
      <c r="L225" s="7"/>
      <c r="M225" s="41"/>
      <c r="N225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225" s="26" t="str">
        <f>IF(
   T_Channel[[#This Row],[ProviderName]]="",
   "",
   COUNTIF($N$12:$N$9982,T_Channel[[#This Row],[ProviderName]])
)</f>
        <v/>
      </c>
      <c r="P225" s="26" t="str">
        <f>IF(
   T_Channel[[#This Row],[Check]]&lt;&gt;"OK",
   "",
   IF(
      T_Channel[[#This Row],[Query]]="",
      "Empty",
      "Defined"
   )
)</f>
        <v/>
      </c>
      <c r="Q225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225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225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22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225" s="20" t="str">
        <f>IF(
   T_Channel[[#This Row],[Check]]&lt;&gt;"OK",
   "",
   T_Channel[[#This Row],[ChannelSymbol]] &amp; ".evtx"
)</f>
        <v/>
      </c>
      <c r="V225" s="20" t="str">
        <f>IF(
   T_Channel[[#This Row],[Check]]&lt;&gt;"OK",
   "",
   T_Channel[[#This Row],[LogFolder]] &amp; "\" &amp; T_Channel[[#This Row],[LogFile]]
)</f>
        <v/>
      </c>
      <c r="W225" s="20" t="str">
        <f>IF(
   T_Channel[[#This Row],[Safekeeping of logs]]="",
   "",
   VLOOKUP(T_Channel[[#This Row],[Safekeeping of logs]],T_List_LogMode[],2,FALSE)
)</f>
        <v/>
      </c>
      <c r="X225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226" spans="2:24" x14ac:dyDescent="0.45">
      <c r="B226" s="7"/>
      <c r="C226" s="5"/>
      <c r="D226" s="5"/>
      <c r="E226" s="5"/>
      <c r="F226" s="6"/>
      <c r="G226" s="6"/>
      <c r="H226" s="6"/>
      <c r="I226" s="6"/>
      <c r="J226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226" s="13"/>
      <c r="L226" s="7"/>
      <c r="M226" s="41"/>
      <c r="N226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226" s="26" t="str">
        <f>IF(
   T_Channel[[#This Row],[ProviderName]]="",
   "",
   COUNTIF($N$12:$N$9982,T_Channel[[#This Row],[ProviderName]])
)</f>
        <v/>
      </c>
      <c r="P226" s="26" t="str">
        <f>IF(
   T_Channel[[#This Row],[Check]]&lt;&gt;"OK",
   "",
   IF(
      T_Channel[[#This Row],[Query]]="",
      "Empty",
      "Defined"
   )
)</f>
        <v/>
      </c>
      <c r="Q226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226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226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22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226" s="20" t="str">
        <f>IF(
   T_Channel[[#This Row],[Check]]&lt;&gt;"OK",
   "",
   T_Channel[[#This Row],[ChannelSymbol]] &amp; ".evtx"
)</f>
        <v/>
      </c>
      <c r="V226" s="20" t="str">
        <f>IF(
   T_Channel[[#This Row],[Check]]&lt;&gt;"OK",
   "",
   T_Channel[[#This Row],[LogFolder]] &amp; "\" &amp; T_Channel[[#This Row],[LogFile]]
)</f>
        <v/>
      </c>
      <c r="W226" s="20" t="str">
        <f>IF(
   T_Channel[[#This Row],[Safekeeping of logs]]="",
   "",
   VLOOKUP(T_Channel[[#This Row],[Safekeeping of logs]],T_List_LogMode[],2,FALSE)
)</f>
        <v/>
      </c>
      <c r="X226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227" spans="2:24" x14ac:dyDescent="0.45">
      <c r="B227" s="7"/>
      <c r="C227" s="5"/>
      <c r="D227" s="5"/>
      <c r="E227" s="5"/>
      <c r="F227" s="6"/>
      <c r="G227" s="6"/>
      <c r="H227" s="6"/>
      <c r="I227" s="6"/>
      <c r="J227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227" s="13"/>
      <c r="L227" s="7"/>
      <c r="M227" s="41"/>
      <c r="N227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227" s="26" t="str">
        <f>IF(
   T_Channel[[#This Row],[ProviderName]]="",
   "",
   COUNTIF($N$12:$N$9982,T_Channel[[#This Row],[ProviderName]])
)</f>
        <v/>
      </c>
      <c r="P227" s="26" t="str">
        <f>IF(
   T_Channel[[#This Row],[Check]]&lt;&gt;"OK",
   "",
   IF(
      T_Channel[[#This Row],[Query]]="",
      "Empty",
      "Defined"
   )
)</f>
        <v/>
      </c>
      <c r="Q227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227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227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22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227" s="20" t="str">
        <f>IF(
   T_Channel[[#This Row],[Check]]&lt;&gt;"OK",
   "",
   T_Channel[[#This Row],[ChannelSymbol]] &amp; ".evtx"
)</f>
        <v/>
      </c>
      <c r="V227" s="20" t="str">
        <f>IF(
   T_Channel[[#This Row],[Check]]&lt;&gt;"OK",
   "",
   T_Channel[[#This Row],[LogFolder]] &amp; "\" &amp; T_Channel[[#This Row],[LogFile]]
)</f>
        <v/>
      </c>
      <c r="W227" s="20" t="str">
        <f>IF(
   T_Channel[[#This Row],[Safekeeping of logs]]="",
   "",
   VLOOKUP(T_Channel[[#This Row],[Safekeeping of logs]],T_List_LogMode[],2,FALSE)
)</f>
        <v/>
      </c>
      <c r="X227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228" spans="2:24" x14ac:dyDescent="0.45">
      <c r="B228" s="7"/>
      <c r="C228" s="5"/>
      <c r="D228" s="5"/>
      <c r="E228" s="5"/>
      <c r="F228" s="6"/>
      <c r="G228" s="6"/>
      <c r="H228" s="6"/>
      <c r="I228" s="6"/>
      <c r="J228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228" s="13"/>
      <c r="L228" s="7"/>
      <c r="M228" s="41"/>
      <c r="N228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228" s="26" t="str">
        <f>IF(
   T_Channel[[#This Row],[ProviderName]]="",
   "",
   COUNTIF($N$12:$N$9982,T_Channel[[#This Row],[ProviderName]])
)</f>
        <v/>
      </c>
      <c r="P228" s="26" t="str">
        <f>IF(
   T_Channel[[#This Row],[Check]]&lt;&gt;"OK",
   "",
   IF(
      T_Channel[[#This Row],[Query]]="",
      "Empty",
      "Defined"
   )
)</f>
        <v/>
      </c>
      <c r="Q228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228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228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22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228" s="20" t="str">
        <f>IF(
   T_Channel[[#This Row],[Check]]&lt;&gt;"OK",
   "",
   T_Channel[[#This Row],[ChannelSymbol]] &amp; ".evtx"
)</f>
        <v/>
      </c>
      <c r="V228" s="20" t="str">
        <f>IF(
   T_Channel[[#This Row],[Check]]&lt;&gt;"OK",
   "",
   T_Channel[[#This Row],[LogFolder]] &amp; "\" &amp; T_Channel[[#This Row],[LogFile]]
)</f>
        <v/>
      </c>
      <c r="W228" s="20" t="str">
        <f>IF(
   T_Channel[[#This Row],[Safekeeping of logs]]="",
   "",
   VLOOKUP(T_Channel[[#This Row],[Safekeeping of logs]],T_List_LogMode[],2,FALSE)
)</f>
        <v/>
      </c>
      <c r="X228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229" spans="2:24" x14ac:dyDescent="0.45">
      <c r="B229" s="7"/>
      <c r="C229" s="5"/>
      <c r="D229" s="5"/>
      <c r="E229" s="5"/>
      <c r="F229" s="6"/>
      <c r="G229" s="6"/>
      <c r="H229" s="6"/>
      <c r="I229" s="6"/>
      <c r="J229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229" s="13"/>
      <c r="L229" s="7"/>
      <c r="M229" s="41"/>
      <c r="N229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229" s="26" t="str">
        <f>IF(
   T_Channel[[#This Row],[ProviderName]]="",
   "",
   COUNTIF($N$12:$N$9982,T_Channel[[#This Row],[ProviderName]])
)</f>
        <v/>
      </c>
      <c r="P229" s="26" t="str">
        <f>IF(
   T_Channel[[#This Row],[Check]]&lt;&gt;"OK",
   "",
   IF(
      T_Channel[[#This Row],[Query]]="",
      "Empty",
      "Defined"
   )
)</f>
        <v/>
      </c>
      <c r="Q229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229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229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22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229" s="20" t="str">
        <f>IF(
   T_Channel[[#This Row],[Check]]&lt;&gt;"OK",
   "",
   T_Channel[[#This Row],[ChannelSymbol]] &amp; ".evtx"
)</f>
        <v/>
      </c>
      <c r="V229" s="20" t="str">
        <f>IF(
   T_Channel[[#This Row],[Check]]&lt;&gt;"OK",
   "",
   T_Channel[[#This Row],[LogFolder]] &amp; "\" &amp; T_Channel[[#This Row],[LogFile]]
)</f>
        <v/>
      </c>
      <c r="W229" s="20" t="str">
        <f>IF(
   T_Channel[[#This Row],[Safekeeping of logs]]="",
   "",
   VLOOKUP(T_Channel[[#This Row],[Safekeeping of logs]],T_List_LogMode[],2,FALSE)
)</f>
        <v/>
      </c>
      <c r="X229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230" spans="2:24" x14ac:dyDescent="0.45">
      <c r="B230" s="7"/>
      <c r="C230" s="7"/>
      <c r="D230" s="7"/>
      <c r="E230" s="7"/>
      <c r="F230" s="6"/>
      <c r="G230" s="6"/>
      <c r="H230" s="6"/>
      <c r="I230" s="6"/>
      <c r="J230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230" s="21"/>
      <c r="L230" s="7"/>
      <c r="M230" s="41"/>
      <c r="N230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230" s="26" t="str">
        <f>IF(
   T_Channel[[#This Row],[ProviderName]]="",
   "",
   COUNTIF($N$12:$N$9982,T_Channel[[#This Row],[ProviderName]])
)</f>
        <v/>
      </c>
      <c r="P230" s="26" t="str">
        <f>IF(
   T_Channel[[#This Row],[Check]]&lt;&gt;"OK",
   "",
   IF(
      T_Channel[[#This Row],[Query]]="",
      "Empty",
      "Defined"
   )
)</f>
        <v/>
      </c>
      <c r="Q230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230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230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23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230" s="20" t="str">
        <f>IF(
   T_Channel[[#This Row],[Check]]&lt;&gt;"OK",
   "",
   T_Channel[[#This Row],[ChannelSymbol]] &amp; ".evtx"
)</f>
        <v/>
      </c>
      <c r="V230" s="20" t="str">
        <f>IF(
   T_Channel[[#This Row],[Check]]&lt;&gt;"OK",
   "",
   T_Channel[[#This Row],[LogFolder]] &amp; "\" &amp; T_Channel[[#This Row],[LogFile]]
)</f>
        <v/>
      </c>
      <c r="W230" s="20" t="str">
        <f>IF(
   T_Channel[[#This Row],[Safekeeping of logs]]="",
   "",
   VLOOKUP(T_Channel[[#This Row],[Safekeeping of logs]],T_List_LogMode[],2,FALSE)
)</f>
        <v/>
      </c>
      <c r="X230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231" spans="2:24" x14ac:dyDescent="0.45">
      <c r="B231" s="7"/>
      <c r="C231" s="7"/>
      <c r="D231" s="7"/>
      <c r="E231" s="7"/>
      <c r="F231" s="6"/>
      <c r="G231" s="6"/>
      <c r="H231" s="6"/>
      <c r="I231" s="6"/>
      <c r="J231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231" s="21"/>
      <c r="L231" s="7"/>
      <c r="M231" s="41"/>
      <c r="N231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231" s="26" t="str">
        <f>IF(
   T_Channel[[#This Row],[ProviderName]]="",
   "",
   COUNTIF($N$12:$N$9982,T_Channel[[#This Row],[ProviderName]])
)</f>
        <v/>
      </c>
      <c r="P231" s="26" t="str">
        <f>IF(
   T_Channel[[#This Row],[Check]]&lt;&gt;"OK",
   "",
   IF(
      T_Channel[[#This Row],[Query]]="",
      "Empty",
      "Defined"
   )
)</f>
        <v/>
      </c>
      <c r="Q231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231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231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23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231" s="20" t="str">
        <f>IF(
   T_Channel[[#This Row],[Check]]&lt;&gt;"OK",
   "",
   T_Channel[[#This Row],[ChannelSymbol]] &amp; ".evtx"
)</f>
        <v/>
      </c>
      <c r="V231" s="20" t="str">
        <f>IF(
   T_Channel[[#This Row],[Check]]&lt;&gt;"OK",
   "",
   T_Channel[[#This Row],[LogFolder]] &amp; "\" &amp; T_Channel[[#This Row],[LogFile]]
)</f>
        <v/>
      </c>
      <c r="W231" s="20" t="str">
        <f>IF(
   T_Channel[[#This Row],[Safekeeping of logs]]="",
   "",
   VLOOKUP(T_Channel[[#This Row],[Safekeeping of logs]],T_List_LogMode[],2,FALSE)
)</f>
        <v/>
      </c>
      <c r="X231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232" spans="2:24" x14ac:dyDescent="0.45">
      <c r="B232" s="7"/>
      <c r="C232" s="7"/>
      <c r="D232" s="5"/>
      <c r="E232" s="7"/>
      <c r="F232" s="6"/>
      <c r="G232" s="6"/>
      <c r="H232" s="6"/>
      <c r="I232" s="6"/>
      <c r="J232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232" s="21"/>
      <c r="L232" s="7"/>
      <c r="M232" s="41"/>
      <c r="N232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232" s="26" t="str">
        <f>IF(
   T_Channel[[#This Row],[ProviderName]]="",
   "",
   COUNTIF($N$12:$N$9982,T_Channel[[#This Row],[ProviderName]])
)</f>
        <v/>
      </c>
      <c r="P232" s="26" t="str">
        <f>IF(
   T_Channel[[#This Row],[Check]]&lt;&gt;"OK",
   "",
   IF(
      T_Channel[[#This Row],[Query]]="",
      "Empty",
      "Defined"
   )
)</f>
        <v/>
      </c>
      <c r="Q232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232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232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23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232" s="20" t="str">
        <f>IF(
   T_Channel[[#This Row],[Check]]&lt;&gt;"OK",
   "",
   T_Channel[[#This Row],[ChannelSymbol]] &amp; ".evtx"
)</f>
        <v/>
      </c>
      <c r="V232" s="20" t="str">
        <f>IF(
   T_Channel[[#This Row],[Check]]&lt;&gt;"OK",
   "",
   T_Channel[[#This Row],[LogFolder]] &amp; "\" &amp; T_Channel[[#This Row],[LogFile]]
)</f>
        <v/>
      </c>
      <c r="W232" s="20" t="str">
        <f>IF(
   T_Channel[[#This Row],[Safekeeping of logs]]="",
   "",
   VLOOKUP(T_Channel[[#This Row],[Safekeeping of logs]],T_List_LogMode[],2,FALSE)
)</f>
        <v/>
      </c>
      <c r="X232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233" spans="2:24" x14ac:dyDescent="0.45">
      <c r="B233" s="7"/>
      <c r="C233" s="7"/>
      <c r="D233" s="5"/>
      <c r="E233" s="7"/>
      <c r="F233" s="6"/>
      <c r="G233" s="6"/>
      <c r="H233" s="6"/>
      <c r="I233" s="6"/>
      <c r="J233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233" s="21"/>
      <c r="L233" s="7"/>
      <c r="M233" s="41"/>
      <c r="N233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233" s="26" t="str">
        <f>IF(
   T_Channel[[#This Row],[ProviderName]]="",
   "",
   COUNTIF($N$12:$N$9982,T_Channel[[#This Row],[ProviderName]])
)</f>
        <v/>
      </c>
      <c r="P233" s="26" t="str">
        <f>IF(
   T_Channel[[#This Row],[Check]]&lt;&gt;"OK",
   "",
   IF(
      T_Channel[[#This Row],[Query]]="",
      "Empty",
      "Defined"
   )
)</f>
        <v/>
      </c>
      <c r="Q233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233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233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23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233" s="20" t="str">
        <f>IF(
   T_Channel[[#This Row],[Check]]&lt;&gt;"OK",
   "",
   T_Channel[[#This Row],[ChannelSymbol]] &amp; ".evtx"
)</f>
        <v/>
      </c>
      <c r="V233" s="20" t="str">
        <f>IF(
   T_Channel[[#This Row],[Check]]&lt;&gt;"OK",
   "",
   T_Channel[[#This Row],[LogFolder]] &amp; "\" &amp; T_Channel[[#This Row],[LogFile]]
)</f>
        <v/>
      </c>
      <c r="W233" s="20" t="str">
        <f>IF(
   T_Channel[[#This Row],[Safekeeping of logs]]="",
   "",
   VLOOKUP(T_Channel[[#This Row],[Safekeeping of logs]],T_List_LogMode[],2,FALSE)
)</f>
        <v/>
      </c>
      <c r="X233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234" spans="2:24" x14ac:dyDescent="0.45">
      <c r="B234" s="7"/>
      <c r="C234" s="7"/>
      <c r="D234" s="7"/>
      <c r="E234" s="7"/>
      <c r="F234" s="6"/>
      <c r="G234" s="6"/>
      <c r="H234" s="6"/>
      <c r="I234" s="6"/>
      <c r="J234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234" s="21"/>
      <c r="L234" s="7"/>
      <c r="M234" s="41"/>
      <c r="N234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234" s="26" t="str">
        <f>IF(
   T_Channel[[#This Row],[ProviderName]]="",
   "",
   COUNTIF($N$12:$N$9982,T_Channel[[#This Row],[ProviderName]])
)</f>
        <v/>
      </c>
      <c r="P234" s="26" t="str">
        <f>IF(
   T_Channel[[#This Row],[Check]]&lt;&gt;"OK",
   "",
   IF(
      T_Channel[[#This Row],[Query]]="",
      "Empty",
      "Defined"
   )
)</f>
        <v/>
      </c>
      <c r="Q234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234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234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23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234" s="20" t="str">
        <f>IF(
   T_Channel[[#This Row],[Check]]&lt;&gt;"OK",
   "",
   T_Channel[[#This Row],[ChannelSymbol]] &amp; ".evtx"
)</f>
        <v/>
      </c>
      <c r="V234" s="20" t="str">
        <f>IF(
   T_Channel[[#This Row],[Check]]&lt;&gt;"OK",
   "",
   T_Channel[[#This Row],[LogFolder]] &amp; "\" &amp; T_Channel[[#This Row],[LogFile]]
)</f>
        <v/>
      </c>
      <c r="W234" s="20" t="str">
        <f>IF(
   T_Channel[[#This Row],[Safekeeping of logs]]="",
   "",
   VLOOKUP(T_Channel[[#This Row],[Safekeeping of logs]],T_List_LogMode[],2,FALSE)
)</f>
        <v/>
      </c>
      <c r="X234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235" spans="2:24" x14ac:dyDescent="0.45">
      <c r="B235" s="7"/>
      <c r="C235" s="7"/>
      <c r="D235" s="7"/>
      <c r="E235" s="7"/>
      <c r="F235" s="6"/>
      <c r="G235" s="6"/>
      <c r="H235" s="6"/>
      <c r="I235" s="6"/>
      <c r="J235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235" s="21"/>
      <c r="L235" s="7"/>
      <c r="M235" s="41"/>
      <c r="N235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235" s="26" t="str">
        <f>IF(
   T_Channel[[#This Row],[ProviderName]]="",
   "",
   COUNTIF($N$12:$N$9982,T_Channel[[#This Row],[ProviderName]])
)</f>
        <v/>
      </c>
      <c r="P235" s="26" t="str">
        <f>IF(
   T_Channel[[#This Row],[Check]]&lt;&gt;"OK",
   "",
   IF(
      T_Channel[[#This Row],[Query]]="",
      "Empty",
      "Defined"
   )
)</f>
        <v/>
      </c>
      <c r="Q235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235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235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23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235" s="20" t="str">
        <f>IF(
   T_Channel[[#This Row],[Check]]&lt;&gt;"OK",
   "",
   T_Channel[[#This Row],[ChannelSymbol]] &amp; ".evtx"
)</f>
        <v/>
      </c>
      <c r="V235" s="20" t="str">
        <f>IF(
   T_Channel[[#This Row],[Check]]&lt;&gt;"OK",
   "",
   T_Channel[[#This Row],[LogFolder]] &amp; "\" &amp; T_Channel[[#This Row],[LogFile]]
)</f>
        <v/>
      </c>
      <c r="W235" s="20" t="str">
        <f>IF(
   T_Channel[[#This Row],[Safekeeping of logs]]="",
   "",
   VLOOKUP(T_Channel[[#This Row],[Safekeeping of logs]],T_List_LogMode[],2,FALSE)
)</f>
        <v/>
      </c>
      <c r="X235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236" spans="2:24" x14ac:dyDescent="0.45">
      <c r="B236" s="7"/>
      <c r="C236" s="7"/>
      <c r="D236" s="5"/>
      <c r="E236" s="7"/>
      <c r="F236" s="6"/>
      <c r="G236" s="6"/>
      <c r="H236" s="6"/>
      <c r="I236" s="6"/>
      <c r="J236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236" s="21"/>
      <c r="L236" s="7"/>
      <c r="M236" s="41"/>
      <c r="N236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236" s="26" t="str">
        <f>IF(
   T_Channel[[#This Row],[ProviderName]]="",
   "",
   COUNTIF($N$12:$N$9982,T_Channel[[#This Row],[ProviderName]])
)</f>
        <v/>
      </c>
      <c r="P236" s="26" t="str">
        <f>IF(
   T_Channel[[#This Row],[Check]]&lt;&gt;"OK",
   "",
   IF(
      T_Channel[[#This Row],[Query]]="",
      "Empty",
      "Defined"
   )
)</f>
        <v/>
      </c>
      <c r="Q236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236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236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23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236" s="20" t="str">
        <f>IF(
   T_Channel[[#This Row],[Check]]&lt;&gt;"OK",
   "",
   T_Channel[[#This Row],[ChannelSymbol]] &amp; ".evtx"
)</f>
        <v/>
      </c>
      <c r="V236" s="20" t="str">
        <f>IF(
   T_Channel[[#This Row],[Check]]&lt;&gt;"OK",
   "",
   T_Channel[[#This Row],[LogFolder]] &amp; "\" &amp; T_Channel[[#This Row],[LogFile]]
)</f>
        <v/>
      </c>
      <c r="W236" s="20" t="str">
        <f>IF(
   T_Channel[[#This Row],[Safekeeping of logs]]="",
   "",
   VLOOKUP(T_Channel[[#This Row],[Safekeeping of logs]],T_List_LogMode[],2,FALSE)
)</f>
        <v/>
      </c>
      <c r="X236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237" spans="2:24" x14ac:dyDescent="0.45">
      <c r="B237" s="7"/>
      <c r="C237" s="7"/>
      <c r="D237" s="5"/>
      <c r="E237" s="7"/>
      <c r="F237" s="6"/>
      <c r="G237" s="6"/>
      <c r="H237" s="6"/>
      <c r="I237" s="6"/>
      <c r="J237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237" s="21"/>
      <c r="L237" s="7"/>
      <c r="M237" s="41"/>
      <c r="N237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237" s="26" t="str">
        <f>IF(
   T_Channel[[#This Row],[ProviderName]]="",
   "",
   COUNTIF($N$12:$N$9982,T_Channel[[#This Row],[ProviderName]])
)</f>
        <v/>
      </c>
      <c r="P237" s="26" t="str">
        <f>IF(
   T_Channel[[#This Row],[Check]]&lt;&gt;"OK",
   "",
   IF(
      T_Channel[[#This Row],[Query]]="",
      "Empty",
      "Defined"
   )
)</f>
        <v/>
      </c>
      <c r="Q237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237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237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23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237" s="20" t="str">
        <f>IF(
   T_Channel[[#This Row],[Check]]&lt;&gt;"OK",
   "",
   T_Channel[[#This Row],[ChannelSymbol]] &amp; ".evtx"
)</f>
        <v/>
      </c>
      <c r="V237" s="20" t="str">
        <f>IF(
   T_Channel[[#This Row],[Check]]&lt;&gt;"OK",
   "",
   T_Channel[[#This Row],[LogFolder]] &amp; "\" &amp; T_Channel[[#This Row],[LogFile]]
)</f>
        <v/>
      </c>
      <c r="W237" s="20" t="str">
        <f>IF(
   T_Channel[[#This Row],[Safekeeping of logs]]="",
   "",
   VLOOKUP(T_Channel[[#This Row],[Safekeeping of logs]],T_List_LogMode[],2,FALSE)
)</f>
        <v/>
      </c>
      <c r="X237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238" spans="2:24" x14ac:dyDescent="0.45">
      <c r="B238" s="7"/>
      <c r="C238" s="7"/>
      <c r="D238" s="7"/>
      <c r="E238" s="7"/>
      <c r="F238" s="6"/>
      <c r="G238" s="6"/>
      <c r="H238" s="6"/>
      <c r="I238" s="6"/>
      <c r="J238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238" s="21"/>
      <c r="L238" s="7"/>
      <c r="M238" s="41"/>
      <c r="N238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238" s="26" t="str">
        <f>IF(
   T_Channel[[#This Row],[ProviderName]]="",
   "",
   COUNTIF($N$12:$N$9982,T_Channel[[#This Row],[ProviderName]])
)</f>
        <v/>
      </c>
      <c r="P238" s="26" t="str">
        <f>IF(
   T_Channel[[#This Row],[Check]]&lt;&gt;"OK",
   "",
   IF(
      T_Channel[[#This Row],[Query]]="",
      "Empty",
      "Defined"
   )
)</f>
        <v/>
      </c>
      <c r="Q238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238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238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23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238" s="20" t="str">
        <f>IF(
   T_Channel[[#This Row],[Check]]&lt;&gt;"OK",
   "",
   T_Channel[[#This Row],[ChannelSymbol]] &amp; ".evtx"
)</f>
        <v/>
      </c>
      <c r="V238" s="20" t="str">
        <f>IF(
   T_Channel[[#This Row],[Check]]&lt;&gt;"OK",
   "",
   T_Channel[[#This Row],[LogFolder]] &amp; "\" &amp; T_Channel[[#This Row],[LogFile]]
)</f>
        <v/>
      </c>
      <c r="W238" s="20" t="str">
        <f>IF(
   T_Channel[[#This Row],[Safekeeping of logs]]="",
   "",
   VLOOKUP(T_Channel[[#This Row],[Safekeeping of logs]],T_List_LogMode[],2,FALSE)
)</f>
        <v/>
      </c>
      <c r="X238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239" spans="2:24" x14ac:dyDescent="0.45">
      <c r="B239" s="7"/>
      <c r="C239" s="7"/>
      <c r="D239" s="7"/>
      <c r="E239" s="7"/>
      <c r="F239" s="6"/>
      <c r="G239" s="6"/>
      <c r="H239" s="6"/>
      <c r="I239" s="6"/>
      <c r="J239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239" s="21"/>
      <c r="L239" s="7"/>
      <c r="M239" s="41"/>
      <c r="N239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239" s="26" t="str">
        <f>IF(
   T_Channel[[#This Row],[ProviderName]]="",
   "",
   COUNTIF($N$12:$N$9982,T_Channel[[#This Row],[ProviderName]])
)</f>
        <v/>
      </c>
      <c r="P239" s="26" t="str">
        <f>IF(
   T_Channel[[#This Row],[Check]]&lt;&gt;"OK",
   "",
   IF(
      T_Channel[[#This Row],[Query]]="",
      "Empty",
      "Defined"
   )
)</f>
        <v/>
      </c>
      <c r="Q239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239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239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23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239" s="20" t="str">
        <f>IF(
   T_Channel[[#This Row],[Check]]&lt;&gt;"OK",
   "",
   T_Channel[[#This Row],[ChannelSymbol]] &amp; ".evtx"
)</f>
        <v/>
      </c>
      <c r="V239" s="20" t="str">
        <f>IF(
   T_Channel[[#This Row],[Check]]&lt;&gt;"OK",
   "",
   T_Channel[[#This Row],[LogFolder]] &amp; "\" &amp; T_Channel[[#This Row],[LogFile]]
)</f>
        <v/>
      </c>
      <c r="W239" s="20" t="str">
        <f>IF(
   T_Channel[[#This Row],[Safekeeping of logs]]="",
   "",
   VLOOKUP(T_Channel[[#This Row],[Safekeeping of logs]],T_List_LogMode[],2,FALSE)
)</f>
        <v/>
      </c>
      <c r="X239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240" spans="2:24" x14ac:dyDescent="0.45">
      <c r="B240" s="7"/>
      <c r="C240" s="7"/>
      <c r="D240" s="5"/>
      <c r="E240" s="7"/>
      <c r="F240" s="6"/>
      <c r="G240" s="6"/>
      <c r="H240" s="6"/>
      <c r="I240" s="6"/>
      <c r="J240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240" s="21"/>
      <c r="L240" s="7"/>
      <c r="M240" s="41"/>
      <c r="N240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240" s="26" t="str">
        <f>IF(
   T_Channel[[#This Row],[ProviderName]]="",
   "",
   COUNTIF($N$12:$N$9982,T_Channel[[#This Row],[ProviderName]])
)</f>
        <v/>
      </c>
      <c r="P240" s="26" t="str">
        <f>IF(
   T_Channel[[#This Row],[Check]]&lt;&gt;"OK",
   "",
   IF(
      T_Channel[[#This Row],[Query]]="",
      "Empty",
      "Defined"
   )
)</f>
        <v/>
      </c>
      <c r="Q240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240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240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24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240" s="20" t="str">
        <f>IF(
   T_Channel[[#This Row],[Check]]&lt;&gt;"OK",
   "",
   T_Channel[[#This Row],[ChannelSymbol]] &amp; ".evtx"
)</f>
        <v/>
      </c>
      <c r="V240" s="20" t="str">
        <f>IF(
   T_Channel[[#This Row],[Check]]&lt;&gt;"OK",
   "",
   T_Channel[[#This Row],[LogFolder]] &amp; "\" &amp; T_Channel[[#This Row],[LogFile]]
)</f>
        <v/>
      </c>
      <c r="W240" s="20" t="str">
        <f>IF(
   T_Channel[[#This Row],[Safekeeping of logs]]="",
   "",
   VLOOKUP(T_Channel[[#This Row],[Safekeeping of logs]],T_List_LogMode[],2,FALSE)
)</f>
        <v/>
      </c>
      <c r="X240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241" spans="2:24" x14ac:dyDescent="0.45">
      <c r="B241" s="7"/>
      <c r="C241" s="7"/>
      <c r="D241" s="5"/>
      <c r="E241" s="7"/>
      <c r="F241" s="6"/>
      <c r="G241" s="6"/>
      <c r="H241" s="6"/>
      <c r="I241" s="6"/>
      <c r="J241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241" s="21"/>
      <c r="L241" s="7"/>
      <c r="M241" s="41"/>
      <c r="N241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241" s="26" t="str">
        <f>IF(
   T_Channel[[#This Row],[ProviderName]]="",
   "",
   COUNTIF($N$12:$N$9982,T_Channel[[#This Row],[ProviderName]])
)</f>
        <v/>
      </c>
      <c r="P241" s="26" t="str">
        <f>IF(
   T_Channel[[#This Row],[Check]]&lt;&gt;"OK",
   "",
   IF(
      T_Channel[[#This Row],[Query]]="",
      "Empty",
      "Defined"
   )
)</f>
        <v/>
      </c>
      <c r="Q241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241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241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24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241" s="20" t="str">
        <f>IF(
   T_Channel[[#This Row],[Check]]&lt;&gt;"OK",
   "",
   T_Channel[[#This Row],[ChannelSymbol]] &amp; ".evtx"
)</f>
        <v/>
      </c>
      <c r="V241" s="20" t="str">
        <f>IF(
   T_Channel[[#This Row],[Check]]&lt;&gt;"OK",
   "",
   T_Channel[[#This Row],[LogFolder]] &amp; "\" &amp; T_Channel[[#This Row],[LogFile]]
)</f>
        <v/>
      </c>
      <c r="W241" s="20" t="str">
        <f>IF(
   T_Channel[[#This Row],[Safekeeping of logs]]="",
   "",
   VLOOKUP(T_Channel[[#This Row],[Safekeeping of logs]],T_List_LogMode[],2,FALSE)
)</f>
        <v/>
      </c>
      <c r="X241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242" spans="2:24" x14ac:dyDescent="0.45">
      <c r="B242" s="7"/>
      <c r="C242" s="7"/>
      <c r="D242" s="7"/>
      <c r="E242" s="7"/>
      <c r="F242" s="6"/>
      <c r="G242" s="6"/>
      <c r="H242" s="6"/>
      <c r="I242" s="6"/>
      <c r="J242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242" s="21"/>
      <c r="L242" s="7"/>
      <c r="M242" s="41"/>
      <c r="N242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242" s="26" t="str">
        <f>IF(
   T_Channel[[#This Row],[ProviderName]]="",
   "",
   COUNTIF($N$12:$N$9982,T_Channel[[#This Row],[ProviderName]])
)</f>
        <v/>
      </c>
      <c r="P242" s="26" t="str">
        <f>IF(
   T_Channel[[#This Row],[Check]]&lt;&gt;"OK",
   "",
   IF(
      T_Channel[[#This Row],[Query]]="",
      "Empty",
      "Defined"
   )
)</f>
        <v/>
      </c>
      <c r="Q242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242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242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24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242" s="20" t="str">
        <f>IF(
   T_Channel[[#This Row],[Check]]&lt;&gt;"OK",
   "",
   T_Channel[[#This Row],[ChannelSymbol]] &amp; ".evtx"
)</f>
        <v/>
      </c>
      <c r="V242" s="20" t="str">
        <f>IF(
   T_Channel[[#This Row],[Check]]&lt;&gt;"OK",
   "",
   T_Channel[[#This Row],[LogFolder]] &amp; "\" &amp; T_Channel[[#This Row],[LogFile]]
)</f>
        <v/>
      </c>
      <c r="W242" s="20" t="str">
        <f>IF(
   T_Channel[[#This Row],[Safekeeping of logs]]="",
   "",
   VLOOKUP(T_Channel[[#This Row],[Safekeeping of logs]],T_List_LogMode[],2,FALSE)
)</f>
        <v/>
      </c>
      <c r="X242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243" spans="2:24" x14ac:dyDescent="0.45">
      <c r="B243" s="7"/>
      <c r="C243" s="7"/>
      <c r="D243" s="7"/>
      <c r="E243" s="7"/>
      <c r="F243" s="6"/>
      <c r="G243" s="6"/>
      <c r="H243" s="6"/>
      <c r="I243" s="6"/>
      <c r="J243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243" s="21"/>
      <c r="L243" s="7"/>
      <c r="M243" s="41"/>
      <c r="N243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243" s="26" t="str">
        <f>IF(
   T_Channel[[#This Row],[ProviderName]]="",
   "",
   COUNTIF($N$12:$N$9982,T_Channel[[#This Row],[ProviderName]])
)</f>
        <v/>
      </c>
      <c r="P243" s="26" t="str">
        <f>IF(
   T_Channel[[#This Row],[Check]]&lt;&gt;"OK",
   "",
   IF(
      T_Channel[[#This Row],[Query]]="",
      "Empty",
      "Defined"
   )
)</f>
        <v/>
      </c>
      <c r="Q243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243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243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24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243" s="20" t="str">
        <f>IF(
   T_Channel[[#This Row],[Check]]&lt;&gt;"OK",
   "",
   T_Channel[[#This Row],[ChannelSymbol]] &amp; ".evtx"
)</f>
        <v/>
      </c>
      <c r="V243" s="20" t="str">
        <f>IF(
   T_Channel[[#This Row],[Check]]&lt;&gt;"OK",
   "",
   T_Channel[[#This Row],[LogFolder]] &amp; "\" &amp; T_Channel[[#This Row],[LogFile]]
)</f>
        <v/>
      </c>
      <c r="W243" s="20" t="str">
        <f>IF(
   T_Channel[[#This Row],[Safekeeping of logs]]="",
   "",
   VLOOKUP(T_Channel[[#This Row],[Safekeeping of logs]],T_List_LogMode[],2,FALSE)
)</f>
        <v/>
      </c>
      <c r="X243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244" spans="2:24" x14ac:dyDescent="0.45">
      <c r="B244" s="7"/>
      <c r="C244" s="7"/>
      <c r="D244" s="7"/>
      <c r="E244" s="7"/>
      <c r="F244" s="6"/>
      <c r="G244" s="6"/>
      <c r="H244" s="6"/>
      <c r="I244" s="6"/>
      <c r="J244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244" s="21"/>
      <c r="L244" s="7"/>
      <c r="M244" s="41"/>
      <c r="N244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244" s="26" t="str">
        <f>IF(
   T_Channel[[#This Row],[ProviderName]]="",
   "",
   COUNTIF($N$12:$N$9982,T_Channel[[#This Row],[ProviderName]])
)</f>
        <v/>
      </c>
      <c r="P244" s="26" t="str">
        <f>IF(
   T_Channel[[#This Row],[Check]]&lt;&gt;"OK",
   "",
   IF(
      T_Channel[[#This Row],[Query]]="",
      "Empty",
      "Defined"
   )
)</f>
        <v/>
      </c>
      <c r="Q244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244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244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24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244" s="20" t="str">
        <f>IF(
   T_Channel[[#This Row],[Check]]&lt;&gt;"OK",
   "",
   T_Channel[[#This Row],[ChannelSymbol]] &amp; ".evtx"
)</f>
        <v/>
      </c>
      <c r="V244" s="20" t="str">
        <f>IF(
   T_Channel[[#This Row],[Check]]&lt;&gt;"OK",
   "",
   T_Channel[[#This Row],[LogFolder]] &amp; "\" &amp; T_Channel[[#This Row],[LogFile]]
)</f>
        <v/>
      </c>
      <c r="W244" s="20" t="str">
        <f>IF(
   T_Channel[[#This Row],[Safekeeping of logs]]="",
   "",
   VLOOKUP(T_Channel[[#This Row],[Safekeeping of logs]],T_List_LogMode[],2,FALSE)
)</f>
        <v/>
      </c>
      <c r="X244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245" spans="2:24" x14ac:dyDescent="0.45">
      <c r="B245" s="7"/>
      <c r="C245" s="7"/>
      <c r="D245" s="7"/>
      <c r="E245" s="7"/>
      <c r="F245" s="6"/>
      <c r="G245" s="6"/>
      <c r="H245" s="6"/>
      <c r="I245" s="6"/>
      <c r="J245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245" s="21"/>
      <c r="L245" s="7"/>
      <c r="M245" s="41"/>
      <c r="N245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245" s="26" t="str">
        <f>IF(
   T_Channel[[#This Row],[ProviderName]]="",
   "",
   COUNTIF($N$12:$N$9982,T_Channel[[#This Row],[ProviderName]])
)</f>
        <v/>
      </c>
      <c r="P245" s="26" t="str">
        <f>IF(
   T_Channel[[#This Row],[Check]]&lt;&gt;"OK",
   "",
   IF(
      T_Channel[[#This Row],[Query]]="",
      "Empty",
      "Defined"
   )
)</f>
        <v/>
      </c>
      <c r="Q245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245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245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24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245" s="20" t="str">
        <f>IF(
   T_Channel[[#This Row],[Check]]&lt;&gt;"OK",
   "",
   T_Channel[[#This Row],[ChannelSymbol]] &amp; ".evtx"
)</f>
        <v/>
      </c>
      <c r="V245" s="20" t="str">
        <f>IF(
   T_Channel[[#This Row],[Check]]&lt;&gt;"OK",
   "",
   T_Channel[[#This Row],[LogFolder]] &amp; "\" &amp; T_Channel[[#This Row],[LogFile]]
)</f>
        <v/>
      </c>
      <c r="W245" s="20" t="str">
        <f>IF(
   T_Channel[[#This Row],[Safekeeping of logs]]="",
   "",
   VLOOKUP(T_Channel[[#This Row],[Safekeeping of logs]],T_List_LogMode[],2,FALSE)
)</f>
        <v/>
      </c>
      <c r="X245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246" spans="2:24" x14ac:dyDescent="0.45">
      <c r="B246" s="7"/>
      <c r="C246" s="7"/>
      <c r="D246" s="7"/>
      <c r="E246" s="7"/>
      <c r="F246" s="6"/>
      <c r="G246" s="6"/>
      <c r="H246" s="6"/>
      <c r="I246" s="6"/>
      <c r="J246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246" s="21"/>
      <c r="L246" s="7"/>
      <c r="M246" s="41"/>
      <c r="N246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246" s="26" t="str">
        <f>IF(
   T_Channel[[#This Row],[ProviderName]]="",
   "",
   COUNTIF($N$12:$N$9982,T_Channel[[#This Row],[ProviderName]])
)</f>
        <v/>
      </c>
      <c r="P246" s="26" t="str">
        <f>IF(
   T_Channel[[#This Row],[Check]]&lt;&gt;"OK",
   "",
   IF(
      T_Channel[[#This Row],[Query]]="",
      "Empty",
      "Defined"
   )
)</f>
        <v/>
      </c>
      <c r="Q246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246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246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24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246" s="20" t="str">
        <f>IF(
   T_Channel[[#This Row],[Check]]&lt;&gt;"OK",
   "",
   T_Channel[[#This Row],[ChannelSymbol]] &amp; ".evtx"
)</f>
        <v/>
      </c>
      <c r="V246" s="20" t="str">
        <f>IF(
   T_Channel[[#This Row],[Check]]&lt;&gt;"OK",
   "",
   T_Channel[[#This Row],[LogFolder]] &amp; "\" &amp; T_Channel[[#This Row],[LogFile]]
)</f>
        <v/>
      </c>
      <c r="W246" s="20" t="str">
        <f>IF(
   T_Channel[[#This Row],[Safekeeping of logs]]="",
   "",
   VLOOKUP(T_Channel[[#This Row],[Safekeeping of logs]],T_List_LogMode[],2,FALSE)
)</f>
        <v/>
      </c>
      <c r="X246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247" spans="2:24" x14ac:dyDescent="0.45">
      <c r="B247" s="7"/>
      <c r="C247" s="7"/>
      <c r="D247" s="7"/>
      <c r="E247" s="7"/>
      <c r="F247" s="6"/>
      <c r="G247" s="6"/>
      <c r="H247" s="6"/>
      <c r="I247" s="6"/>
      <c r="J247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247" s="21"/>
      <c r="L247" s="7"/>
      <c r="M247" s="41"/>
      <c r="N247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247" s="26" t="str">
        <f>IF(
   T_Channel[[#This Row],[ProviderName]]="",
   "",
   COUNTIF($N$12:$N$9982,T_Channel[[#This Row],[ProviderName]])
)</f>
        <v/>
      </c>
      <c r="P247" s="26" t="str">
        <f>IF(
   T_Channel[[#This Row],[Check]]&lt;&gt;"OK",
   "",
   IF(
      T_Channel[[#This Row],[Query]]="",
      "Empty",
      "Defined"
   )
)</f>
        <v/>
      </c>
      <c r="Q247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247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247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24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247" s="20" t="str">
        <f>IF(
   T_Channel[[#This Row],[Check]]&lt;&gt;"OK",
   "",
   T_Channel[[#This Row],[ChannelSymbol]] &amp; ".evtx"
)</f>
        <v/>
      </c>
      <c r="V247" s="20" t="str">
        <f>IF(
   T_Channel[[#This Row],[Check]]&lt;&gt;"OK",
   "",
   T_Channel[[#This Row],[LogFolder]] &amp; "\" &amp; T_Channel[[#This Row],[LogFile]]
)</f>
        <v/>
      </c>
      <c r="W247" s="20" t="str">
        <f>IF(
   T_Channel[[#This Row],[Safekeeping of logs]]="",
   "",
   VLOOKUP(T_Channel[[#This Row],[Safekeeping of logs]],T_List_LogMode[],2,FALSE)
)</f>
        <v/>
      </c>
      <c r="X247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248" spans="2:24" x14ac:dyDescent="0.45">
      <c r="B248" s="7"/>
      <c r="C248" s="7"/>
      <c r="D248" s="7"/>
      <c r="E248" s="7"/>
      <c r="F248" s="6"/>
      <c r="G248" s="6"/>
      <c r="H248" s="6"/>
      <c r="I248" s="6"/>
      <c r="J248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248" s="21"/>
      <c r="L248" s="7"/>
      <c r="M248" s="41"/>
      <c r="N248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248" s="26" t="str">
        <f>IF(
   T_Channel[[#This Row],[ProviderName]]="",
   "",
   COUNTIF($N$12:$N$9982,T_Channel[[#This Row],[ProviderName]])
)</f>
        <v/>
      </c>
      <c r="P248" s="26" t="str">
        <f>IF(
   T_Channel[[#This Row],[Check]]&lt;&gt;"OK",
   "",
   IF(
      T_Channel[[#This Row],[Query]]="",
      "Empty",
      "Defined"
   )
)</f>
        <v/>
      </c>
      <c r="Q248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248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248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24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248" s="20" t="str">
        <f>IF(
   T_Channel[[#This Row],[Check]]&lt;&gt;"OK",
   "",
   T_Channel[[#This Row],[ChannelSymbol]] &amp; ".evtx"
)</f>
        <v/>
      </c>
      <c r="V248" s="20" t="str">
        <f>IF(
   T_Channel[[#This Row],[Check]]&lt;&gt;"OK",
   "",
   T_Channel[[#This Row],[LogFolder]] &amp; "\" &amp; T_Channel[[#This Row],[LogFile]]
)</f>
        <v/>
      </c>
      <c r="W248" s="20" t="str">
        <f>IF(
   T_Channel[[#This Row],[Safekeeping of logs]]="",
   "",
   VLOOKUP(T_Channel[[#This Row],[Safekeeping of logs]],T_List_LogMode[],2,FALSE)
)</f>
        <v/>
      </c>
      <c r="X248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249" spans="2:24" x14ac:dyDescent="0.45">
      <c r="B249" s="7"/>
      <c r="C249" s="7"/>
      <c r="D249" s="7"/>
      <c r="E249" s="7"/>
      <c r="F249" s="6"/>
      <c r="G249" s="6"/>
      <c r="H249" s="6"/>
      <c r="I249" s="6"/>
      <c r="J249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249" s="21"/>
      <c r="L249" s="7"/>
      <c r="M249" s="41"/>
      <c r="N249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249" s="26" t="str">
        <f>IF(
   T_Channel[[#This Row],[ProviderName]]="",
   "",
   COUNTIF($N$12:$N$9982,T_Channel[[#This Row],[ProviderName]])
)</f>
        <v/>
      </c>
      <c r="P249" s="26" t="str">
        <f>IF(
   T_Channel[[#This Row],[Check]]&lt;&gt;"OK",
   "",
   IF(
      T_Channel[[#This Row],[Query]]="",
      "Empty",
      "Defined"
   )
)</f>
        <v/>
      </c>
      <c r="Q249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249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249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24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249" s="20" t="str">
        <f>IF(
   T_Channel[[#This Row],[Check]]&lt;&gt;"OK",
   "",
   T_Channel[[#This Row],[ChannelSymbol]] &amp; ".evtx"
)</f>
        <v/>
      </c>
      <c r="V249" s="20" t="str">
        <f>IF(
   T_Channel[[#This Row],[Check]]&lt;&gt;"OK",
   "",
   T_Channel[[#This Row],[LogFolder]] &amp; "\" &amp; T_Channel[[#This Row],[LogFile]]
)</f>
        <v/>
      </c>
      <c r="W249" s="20" t="str">
        <f>IF(
   T_Channel[[#This Row],[Safekeeping of logs]]="",
   "",
   VLOOKUP(T_Channel[[#This Row],[Safekeeping of logs]],T_List_LogMode[],2,FALSE)
)</f>
        <v/>
      </c>
      <c r="X249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250" spans="2:24" x14ac:dyDescent="0.45">
      <c r="B250" s="7"/>
      <c r="C250" s="7"/>
      <c r="D250" s="7"/>
      <c r="E250" s="7"/>
      <c r="F250" s="6"/>
      <c r="G250" s="6"/>
      <c r="H250" s="6"/>
      <c r="I250" s="6"/>
      <c r="J250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250" s="21"/>
      <c r="L250" s="7"/>
      <c r="M250" s="41"/>
      <c r="N250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250" s="26" t="str">
        <f>IF(
   T_Channel[[#This Row],[ProviderName]]="",
   "",
   COUNTIF($N$12:$N$9982,T_Channel[[#This Row],[ProviderName]])
)</f>
        <v/>
      </c>
      <c r="P250" s="26" t="str">
        <f>IF(
   T_Channel[[#This Row],[Check]]&lt;&gt;"OK",
   "",
   IF(
      T_Channel[[#This Row],[Query]]="",
      "Empty",
      "Defined"
   )
)</f>
        <v/>
      </c>
      <c r="Q250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250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250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25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250" s="20" t="str">
        <f>IF(
   T_Channel[[#This Row],[Check]]&lt;&gt;"OK",
   "",
   T_Channel[[#This Row],[ChannelSymbol]] &amp; ".evtx"
)</f>
        <v/>
      </c>
      <c r="V250" s="20" t="str">
        <f>IF(
   T_Channel[[#This Row],[Check]]&lt;&gt;"OK",
   "",
   T_Channel[[#This Row],[LogFolder]] &amp; "\" &amp; T_Channel[[#This Row],[LogFile]]
)</f>
        <v/>
      </c>
      <c r="W250" s="20" t="str">
        <f>IF(
   T_Channel[[#This Row],[Safekeeping of logs]]="",
   "",
   VLOOKUP(T_Channel[[#This Row],[Safekeeping of logs]],T_List_LogMode[],2,FALSE)
)</f>
        <v/>
      </c>
      <c r="X250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251" spans="2:24" x14ac:dyDescent="0.45">
      <c r="B251" s="7"/>
      <c r="C251" s="7"/>
      <c r="D251" s="7"/>
      <c r="E251" s="7"/>
      <c r="F251" s="6"/>
      <c r="G251" s="6"/>
      <c r="H251" s="6"/>
      <c r="I251" s="6"/>
      <c r="J251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251" s="21"/>
      <c r="L251" s="7"/>
      <c r="M251" s="41"/>
      <c r="N251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251" s="26" t="str">
        <f>IF(
   T_Channel[[#This Row],[ProviderName]]="",
   "",
   COUNTIF($N$12:$N$9982,T_Channel[[#This Row],[ProviderName]])
)</f>
        <v/>
      </c>
      <c r="P251" s="26" t="str">
        <f>IF(
   T_Channel[[#This Row],[Check]]&lt;&gt;"OK",
   "",
   IF(
      T_Channel[[#This Row],[Query]]="",
      "Empty",
      "Defined"
   )
)</f>
        <v/>
      </c>
      <c r="Q251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251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251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25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251" s="20" t="str">
        <f>IF(
   T_Channel[[#This Row],[Check]]&lt;&gt;"OK",
   "",
   T_Channel[[#This Row],[ChannelSymbol]] &amp; ".evtx"
)</f>
        <v/>
      </c>
      <c r="V251" s="20" t="str">
        <f>IF(
   T_Channel[[#This Row],[Check]]&lt;&gt;"OK",
   "",
   T_Channel[[#This Row],[LogFolder]] &amp; "\" &amp; T_Channel[[#This Row],[LogFile]]
)</f>
        <v/>
      </c>
      <c r="W251" s="20" t="str">
        <f>IF(
   T_Channel[[#This Row],[Safekeeping of logs]]="",
   "",
   VLOOKUP(T_Channel[[#This Row],[Safekeeping of logs]],T_List_LogMode[],2,FALSE)
)</f>
        <v/>
      </c>
      <c r="X251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252" spans="2:24" x14ac:dyDescent="0.45">
      <c r="B252" s="7"/>
      <c r="C252" s="7"/>
      <c r="D252" s="7"/>
      <c r="E252" s="7"/>
      <c r="F252" s="6"/>
      <c r="G252" s="6"/>
      <c r="H252" s="6"/>
      <c r="I252" s="6"/>
      <c r="J252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252" s="21"/>
      <c r="L252" s="7"/>
      <c r="M252" s="41"/>
      <c r="N252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252" s="26" t="str">
        <f>IF(
   T_Channel[[#This Row],[ProviderName]]="",
   "",
   COUNTIF($N$12:$N$9982,T_Channel[[#This Row],[ProviderName]])
)</f>
        <v/>
      </c>
      <c r="P252" s="26" t="str">
        <f>IF(
   T_Channel[[#This Row],[Check]]&lt;&gt;"OK",
   "",
   IF(
      T_Channel[[#This Row],[Query]]="",
      "Empty",
      "Defined"
   )
)</f>
        <v/>
      </c>
      <c r="Q252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252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252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25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252" s="20" t="str">
        <f>IF(
   T_Channel[[#This Row],[Check]]&lt;&gt;"OK",
   "",
   T_Channel[[#This Row],[ChannelSymbol]] &amp; ".evtx"
)</f>
        <v/>
      </c>
      <c r="V252" s="20" t="str">
        <f>IF(
   T_Channel[[#This Row],[Check]]&lt;&gt;"OK",
   "",
   T_Channel[[#This Row],[LogFolder]] &amp; "\" &amp; T_Channel[[#This Row],[LogFile]]
)</f>
        <v/>
      </c>
      <c r="W252" s="20" t="str">
        <f>IF(
   T_Channel[[#This Row],[Safekeeping of logs]]="",
   "",
   VLOOKUP(T_Channel[[#This Row],[Safekeeping of logs]],T_List_LogMode[],2,FALSE)
)</f>
        <v/>
      </c>
      <c r="X252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253" spans="2:24" x14ac:dyDescent="0.45">
      <c r="B253" s="7"/>
      <c r="C253" s="7"/>
      <c r="D253" s="7"/>
      <c r="E253" s="7"/>
      <c r="F253" s="6"/>
      <c r="G253" s="6"/>
      <c r="H253" s="6"/>
      <c r="I253" s="6"/>
      <c r="J253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253" s="21"/>
      <c r="L253" s="7"/>
      <c r="M253" s="41"/>
      <c r="N253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253" s="26" t="str">
        <f>IF(
   T_Channel[[#This Row],[ProviderName]]="",
   "",
   COUNTIF($N$12:$N$9982,T_Channel[[#This Row],[ProviderName]])
)</f>
        <v/>
      </c>
      <c r="P253" s="26" t="str">
        <f>IF(
   T_Channel[[#This Row],[Check]]&lt;&gt;"OK",
   "",
   IF(
      T_Channel[[#This Row],[Query]]="",
      "Empty",
      "Defined"
   )
)</f>
        <v/>
      </c>
      <c r="Q253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253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253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25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253" s="20" t="str">
        <f>IF(
   T_Channel[[#This Row],[Check]]&lt;&gt;"OK",
   "",
   T_Channel[[#This Row],[ChannelSymbol]] &amp; ".evtx"
)</f>
        <v/>
      </c>
      <c r="V253" s="20" t="str">
        <f>IF(
   T_Channel[[#This Row],[Check]]&lt;&gt;"OK",
   "",
   T_Channel[[#This Row],[LogFolder]] &amp; "\" &amp; T_Channel[[#This Row],[LogFile]]
)</f>
        <v/>
      </c>
      <c r="W253" s="20" t="str">
        <f>IF(
   T_Channel[[#This Row],[Safekeeping of logs]]="",
   "",
   VLOOKUP(T_Channel[[#This Row],[Safekeeping of logs]],T_List_LogMode[],2,FALSE)
)</f>
        <v/>
      </c>
      <c r="X253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254" spans="2:24" x14ac:dyDescent="0.45">
      <c r="B254" s="7"/>
      <c r="C254" s="7"/>
      <c r="D254" s="7"/>
      <c r="E254" s="7"/>
      <c r="F254" s="6"/>
      <c r="G254" s="6"/>
      <c r="H254" s="6"/>
      <c r="I254" s="6"/>
      <c r="J254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254" s="21"/>
      <c r="L254" s="7"/>
      <c r="M254" s="41"/>
      <c r="N254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254" s="26" t="str">
        <f>IF(
   T_Channel[[#This Row],[ProviderName]]="",
   "",
   COUNTIF($N$12:$N$9982,T_Channel[[#This Row],[ProviderName]])
)</f>
        <v/>
      </c>
      <c r="P254" s="26" t="str">
        <f>IF(
   T_Channel[[#This Row],[Check]]&lt;&gt;"OK",
   "",
   IF(
      T_Channel[[#This Row],[Query]]="",
      "Empty",
      "Defined"
   )
)</f>
        <v/>
      </c>
      <c r="Q254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254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254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25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254" s="20" t="str">
        <f>IF(
   T_Channel[[#This Row],[Check]]&lt;&gt;"OK",
   "",
   T_Channel[[#This Row],[ChannelSymbol]] &amp; ".evtx"
)</f>
        <v/>
      </c>
      <c r="V254" s="20" t="str">
        <f>IF(
   T_Channel[[#This Row],[Check]]&lt;&gt;"OK",
   "",
   T_Channel[[#This Row],[LogFolder]] &amp; "\" &amp; T_Channel[[#This Row],[LogFile]]
)</f>
        <v/>
      </c>
      <c r="W254" s="20" t="str">
        <f>IF(
   T_Channel[[#This Row],[Safekeeping of logs]]="",
   "",
   VLOOKUP(T_Channel[[#This Row],[Safekeeping of logs]],T_List_LogMode[],2,FALSE)
)</f>
        <v/>
      </c>
      <c r="X254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255" spans="2:24" x14ac:dyDescent="0.45">
      <c r="B255" s="7"/>
      <c r="C255" s="7"/>
      <c r="D255" s="7"/>
      <c r="E255" s="7"/>
      <c r="F255" s="6"/>
      <c r="G255" s="6"/>
      <c r="H255" s="6"/>
      <c r="I255" s="6"/>
      <c r="J255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255" s="21"/>
      <c r="L255" s="7"/>
      <c r="M255" s="41"/>
      <c r="N255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255" s="26" t="str">
        <f>IF(
   T_Channel[[#This Row],[ProviderName]]="",
   "",
   COUNTIF($N$12:$N$9982,T_Channel[[#This Row],[ProviderName]])
)</f>
        <v/>
      </c>
      <c r="P255" s="26" t="str">
        <f>IF(
   T_Channel[[#This Row],[Check]]&lt;&gt;"OK",
   "",
   IF(
      T_Channel[[#This Row],[Query]]="",
      "Empty",
      "Defined"
   )
)</f>
        <v/>
      </c>
      <c r="Q255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255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255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25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255" s="20" t="str">
        <f>IF(
   T_Channel[[#This Row],[Check]]&lt;&gt;"OK",
   "",
   T_Channel[[#This Row],[ChannelSymbol]] &amp; ".evtx"
)</f>
        <v/>
      </c>
      <c r="V255" s="20" t="str">
        <f>IF(
   T_Channel[[#This Row],[Check]]&lt;&gt;"OK",
   "",
   T_Channel[[#This Row],[LogFolder]] &amp; "\" &amp; T_Channel[[#This Row],[LogFile]]
)</f>
        <v/>
      </c>
      <c r="W255" s="20" t="str">
        <f>IF(
   T_Channel[[#This Row],[Safekeeping of logs]]="",
   "",
   VLOOKUP(T_Channel[[#This Row],[Safekeeping of logs]],T_List_LogMode[],2,FALSE)
)</f>
        <v/>
      </c>
      <c r="X255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256" spans="2:24" x14ac:dyDescent="0.45">
      <c r="B256" s="7"/>
      <c r="C256" s="7"/>
      <c r="D256" s="7"/>
      <c r="E256" s="7"/>
      <c r="F256" s="6"/>
      <c r="G256" s="6"/>
      <c r="H256" s="6"/>
      <c r="I256" s="6"/>
      <c r="J256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256" s="21"/>
      <c r="L256" s="7"/>
      <c r="M256" s="41"/>
      <c r="N256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256" s="26" t="str">
        <f>IF(
   T_Channel[[#This Row],[ProviderName]]="",
   "",
   COUNTIF($N$12:$N$9982,T_Channel[[#This Row],[ProviderName]])
)</f>
        <v/>
      </c>
      <c r="P256" s="26" t="str">
        <f>IF(
   T_Channel[[#This Row],[Check]]&lt;&gt;"OK",
   "",
   IF(
      T_Channel[[#This Row],[Query]]="",
      "Empty",
      "Defined"
   )
)</f>
        <v/>
      </c>
      <c r="Q256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256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256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25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256" s="20" t="str">
        <f>IF(
   T_Channel[[#This Row],[Check]]&lt;&gt;"OK",
   "",
   T_Channel[[#This Row],[ChannelSymbol]] &amp; ".evtx"
)</f>
        <v/>
      </c>
      <c r="V256" s="20" t="str">
        <f>IF(
   T_Channel[[#This Row],[Check]]&lt;&gt;"OK",
   "",
   T_Channel[[#This Row],[LogFolder]] &amp; "\" &amp; T_Channel[[#This Row],[LogFile]]
)</f>
        <v/>
      </c>
      <c r="W256" s="20" t="str">
        <f>IF(
   T_Channel[[#This Row],[Safekeeping of logs]]="",
   "",
   VLOOKUP(T_Channel[[#This Row],[Safekeeping of logs]],T_List_LogMode[],2,FALSE)
)</f>
        <v/>
      </c>
      <c r="X256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257" spans="2:24" x14ac:dyDescent="0.45">
      <c r="B257" s="7"/>
      <c r="C257" s="7"/>
      <c r="D257" s="7"/>
      <c r="E257" s="7"/>
      <c r="F257" s="6"/>
      <c r="G257" s="6"/>
      <c r="H257" s="6"/>
      <c r="I257" s="6"/>
      <c r="J257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257" s="21"/>
      <c r="L257" s="7"/>
      <c r="M257" s="41"/>
      <c r="N257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257" s="26" t="str">
        <f>IF(
   T_Channel[[#This Row],[ProviderName]]="",
   "",
   COUNTIF($N$12:$N$9982,T_Channel[[#This Row],[ProviderName]])
)</f>
        <v/>
      </c>
      <c r="P257" s="26" t="str">
        <f>IF(
   T_Channel[[#This Row],[Check]]&lt;&gt;"OK",
   "",
   IF(
      T_Channel[[#This Row],[Query]]="",
      "Empty",
      "Defined"
   )
)</f>
        <v/>
      </c>
      <c r="Q257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257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257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25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257" s="20" t="str">
        <f>IF(
   T_Channel[[#This Row],[Check]]&lt;&gt;"OK",
   "",
   T_Channel[[#This Row],[ChannelSymbol]] &amp; ".evtx"
)</f>
        <v/>
      </c>
      <c r="V257" s="20" t="str">
        <f>IF(
   T_Channel[[#This Row],[Check]]&lt;&gt;"OK",
   "",
   T_Channel[[#This Row],[LogFolder]] &amp; "\" &amp; T_Channel[[#This Row],[LogFile]]
)</f>
        <v/>
      </c>
      <c r="W257" s="20" t="str">
        <f>IF(
   T_Channel[[#This Row],[Safekeeping of logs]]="",
   "",
   VLOOKUP(T_Channel[[#This Row],[Safekeeping of logs]],T_List_LogMode[],2,FALSE)
)</f>
        <v/>
      </c>
      <c r="X257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258" spans="2:24" x14ac:dyDescent="0.45">
      <c r="B258" s="7"/>
      <c r="C258" s="7"/>
      <c r="D258" s="7"/>
      <c r="E258" s="7"/>
      <c r="F258" s="6"/>
      <c r="G258" s="6"/>
      <c r="H258" s="6"/>
      <c r="I258" s="6"/>
      <c r="J258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258" s="21"/>
      <c r="L258" s="7"/>
      <c r="M258" s="41"/>
      <c r="N258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258" s="26" t="str">
        <f>IF(
   T_Channel[[#This Row],[ProviderName]]="",
   "",
   COUNTIF($N$12:$N$9982,T_Channel[[#This Row],[ProviderName]])
)</f>
        <v/>
      </c>
      <c r="P258" s="26" t="str">
        <f>IF(
   T_Channel[[#This Row],[Check]]&lt;&gt;"OK",
   "",
   IF(
      T_Channel[[#This Row],[Query]]="",
      "Empty",
      "Defined"
   )
)</f>
        <v/>
      </c>
      <c r="Q258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258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258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25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258" s="20" t="str">
        <f>IF(
   T_Channel[[#This Row],[Check]]&lt;&gt;"OK",
   "",
   T_Channel[[#This Row],[ChannelSymbol]] &amp; ".evtx"
)</f>
        <v/>
      </c>
      <c r="V258" s="20" t="str">
        <f>IF(
   T_Channel[[#This Row],[Check]]&lt;&gt;"OK",
   "",
   T_Channel[[#This Row],[LogFolder]] &amp; "\" &amp; T_Channel[[#This Row],[LogFile]]
)</f>
        <v/>
      </c>
      <c r="W258" s="20" t="str">
        <f>IF(
   T_Channel[[#This Row],[Safekeeping of logs]]="",
   "",
   VLOOKUP(T_Channel[[#This Row],[Safekeeping of logs]],T_List_LogMode[],2,FALSE)
)</f>
        <v/>
      </c>
      <c r="X258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259" spans="2:24" x14ac:dyDescent="0.45">
      <c r="B259" s="7"/>
      <c r="C259" s="7"/>
      <c r="D259" s="7"/>
      <c r="E259" s="7"/>
      <c r="F259" s="6"/>
      <c r="G259" s="6"/>
      <c r="H259" s="6"/>
      <c r="I259" s="6"/>
      <c r="J259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259" s="21"/>
      <c r="L259" s="7"/>
      <c r="M259" s="41"/>
      <c r="N259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259" s="26" t="str">
        <f>IF(
   T_Channel[[#This Row],[ProviderName]]="",
   "",
   COUNTIF($N$12:$N$9982,T_Channel[[#This Row],[ProviderName]])
)</f>
        <v/>
      </c>
      <c r="P259" s="26" t="str">
        <f>IF(
   T_Channel[[#This Row],[Check]]&lt;&gt;"OK",
   "",
   IF(
      T_Channel[[#This Row],[Query]]="",
      "Empty",
      "Defined"
   )
)</f>
        <v/>
      </c>
      <c r="Q259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259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259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25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259" s="20" t="str">
        <f>IF(
   T_Channel[[#This Row],[Check]]&lt;&gt;"OK",
   "",
   T_Channel[[#This Row],[ChannelSymbol]] &amp; ".evtx"
)</f>
        <v/>
      </c>
      <c r="V259" s="20" t="str">
        <f>IF(
   T_Channel[[#This Row],[Check]]&lt;&gt;"OK",
   "",
   T_Channel[[#This Row],[LogFolder]] &amp; "\" &amp; T_Channel[[#This Row],[LogFile]]
)</f>
        <v/>
      </c>
      <c r="W259" s="20" t="str">
        <f>IF(
   T_Channel[[#This Row],[Safekeeping of logs]]="",
   "",
   VLOOKUP(T_Channel[[#This Row],[Safekeeping of logs]],T_List_LogMode[],2,FALSE)
)</f>
        <v/>
      </c>
      <c r="X259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260" spans="2:24" x14ac:dyDescent="0.45">
      <c r="B260" s="7"/>
      <c r="C260" s="7"/>
      <c r="D260" s="7"/>
      <c r="E260" s="7"/>
      <c r="F260" s="6"/>
      <c r="G260" s="6"/>
      <c r="H260" s="6"/>
      <c r="I260" s="6"/>
      <c r="J260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260" s="21"/>
      <c r="L260" s="7"/>
      <c r="M260" s="41"/>
      <c r="N260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260" s="26" t="str">
        <f>IF(
   T_Channel[[#This Row],[ProviderName]]="",
   "",
   COUNTIF($N$12:$N$9982,T_Channel[[#This Row],[ProviderName]])
)</f>
        <v/>
      </c>
      <c r="P260" s="26" t="str">
        <f>IF(
   T_Channel[[#This Row],[Check]]&lt;&gt;"OK",
   "",
   IF(
      T_Channel[[#This Row],[Query]]="",
      "Empty",
      "Defined"
   )
)</f>
        <v/>
      </c>
      <c r="Q260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260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260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26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260" s="20" t="str">
        <f>IF(
   T_Channel[[#This Row],[Check]]&lt;&gt;"OK",
   "",
   T_Channel[[#This Row],[ChannelSymbol]] &amp; ".evtx"
)</f>
        <v/>
      </c>
      <c r="V260" s="20" t="str">
        <f>IF(
   T_Channel[[#This Row],[Check]]&lt;&gt;"OK",
   "",
   T_Channel[[#This Row],[LogFolder]] &amp; "\" &amp; T_Channel[[#This Row],[LogFile]]
)</f>
        <v/>
      </c>
      <c r="W260" s="20" t="str">
        <f>IF(
   T_Channel[[#This Row],[Safekeeping of logs]]="",
   "",
   VLOOKUP(T_Channel[[#This Row],[Safekeeping of logs]],T_List_LogMode[],2,FALSE)
)</f>
        <v/>
      </c>
      <c r="X260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261" spans="2:24" x14ac:dyDescent="0.45">
      <c r="B261" s="7"/>
      <c r="C261" s="7"/>
      <c r="D261" s="7"/>
      <c r="E261" s="7"/>
      <c r="F261" s="6"/>
      <c r="G261" s="6"/>
      <c r="H261" s="6"/>
      <c r="I261" s="6"/>
      <c r="J261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261" s="21"/>
      <c r="L261" s="7"/>
      <c r="M261" s="41"/>
      <c r="N261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261" s="26" t="str">
        <f>IF(
   T_Channel[[#This Row],[ProviderName]]="",
   "",
   COUNTIF($N$12:$N$9982,T_Channel[[#This Row],[ProviderName]])
)</f>
        <v/>
      </c>
      <c r="P261" s="26" t="str">
        <f>IF(
   T_Channel[[#This Row],[Check]]&lt;&gt;"OK",
   "",
   IF(
      T_Channel[[#This Row],[Query]]="",
      "Empty",
      "Defined"
   )
)</f>
        <v/>
      </c>
      <c r="Q261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261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261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26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261" s="20" t="str">
        <f>IF(
   T_Channel[[#This Row],[Check]]&lt;&gt;"OK",
   "",
   T_Channel[[#This Row],[ChannelSymbol]] &amp; ".evtx"
)</f>
        <v/>
      </c>
      <c r="V261" s="20" t="str">
        <f>IF(
   T_Channel[[#This Row],[Check]]&lt;&gt;"OK",
   "",
   T_Channel[[#This Row],[LogFolder]] &amp; "\" &amp; T_Channel[[#This Row],[LogFile]]
)</f>
        <v/>
      </c>
      <c r="W261" s="20" t="str">
        <f>IF(
   T_Channel[[#This Row],[Safekeeping of logs]]="",
   "",
   VLOOKUP(T_Channel[[#This Row],[Safekeeping of logs]],T_List_LogMode[],2,FALSE)
)</f>
        <v/>
      </c>
      <c r="X261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262" spans="2:24" x14ac:dyDescent="0.45">
      <c r="B262" s="7"/>
      <c r="C262" s="7"/>
      <c r="D262" s="7"/>
      <c r="E262" s="7"/>
      <c r="F262" s="6"/>
      <c r="G262" s="6"/>
      <c r="H262" s="6"/>
      <c r="I262" s="6"/>
      <c r="J262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262" s="21"/>
      <c r="L262" s="7"/>
      <c r="M262" s="41"/>
      <c r="N262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262" s="26" t="str">
        <f>IF(
   T_Channel[[#This Row],[ProviderName]]="",
   "",
   COUNTIF($N$12:$N$9982,T_Channel[[#This Row],[ProviderName]])
)</f>
        <v/>
      </c>
      <c r="P262" s="26" t="str">
        <f>IF(
   T_Channel[[#This Row],[Check]]&lt;&gt;"OK",
   "",
   IF(
      T_Channel[[#This Row],[Query]]="",
      "Empty",
      "Defined"
   )
)</f>
        <v/>
      </c>
      <c r="Q262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262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262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26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262" s="20" t="str">
        <f>IF(
   T_Channel[[#This Row],[Check]]&lt;&gt;"OK",
   "",
   T_Channel[[#This Row],[ChannelSymbol]] &amp; ".evtx"
)</f>
        <v/>
      </c>
      <c r="V262" s="20" t="str">
        <f>IF(
   T_Channel[[#This Row],[Check]]&lt;&gt;"OK",
   "",
   T_Channel[[#This Row],[LogFolder]] &amp; "\" &amp; T_Channel[[#This Row],[LogFile]]
)</f>
        <v/>
      </c>
      <c r="W262" s="20" t="str">
        <f>IF(
   T_Channel[[#This Row],[Safekeeping of logs]]="",
   "",
   VLOOKUP(T_Channel[[#This Row],[Safekeeping of logs]],T_List_LogMode[],2,FALSE)
)</f>
        <v/>
      </c>
      <c r="X262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263" spans="2:24" x14ac:dyDescent="0.45">
      <c r="B263" s="7"/>
      <c r="C263" s="7"/>
      <c r="D263" s="7"/>
      <c r="E263" s="7"/>
      <c r="F263" s="6"/>
      <c r="G263" s="6"/>
      <c r="H263" s="6"/>
      <c r="I263" s="6"/>
      <c r="J263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263" s="21"/>
      <c r="L263" s="7"/>
      <c r="M263" s="41"/>
      <c r="N263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263" s="26" t="str">
        <f>IF(
   T_Channel[[#This Row],[ProviderName]]="",
   "",
   COUNTIF($N$12:$N$9982,T_Channel[[#This Row],[ProviderName]])
)</f>
        <v/>
      </c>
      <c r="P263" s="26" t="str">
        <f>IF(
   T_Channel[[#This Row],[Check]]&lt;&gt;"OK",
   "",
   IF(
      T_Channel[[#This Row],[Query]]="",
      "Empty",
      "Defined"
   )
)</f>
        <v/>
      </c>
      <c r="Q263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263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263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26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263" s="20" t="str">
        <f>IF(
   T_Channel[[#This Row],[Check]]&lt;&gt;"OK",
   "",
   T_Channel[[#This Row],[ChannelSymbol]] &amp; ".evtx"
)</f>
        <v/>
      </c>
      <c r="V263" s="20" t="str">
        <f>IF(
   T_Channel[[#This Row],[Check]]&lt;&gt;"OK",
   "",
   T_Channel[[#This Row],[LogFolder]] &amp; "\" &amp; T_Channel[[#This Row],[LogFile]]
)</f>
        <v/>
      </c>
      <c r="W263" s="20" t="str">
        <f>IF(
   T_Channel[[#This Row],[Safekeeping of logs]]="",
   "",
   VLOOKUP(T_Channel[[#This Row],[Safekeeping of logs]],T_List_LogMode[],2,FALSE)
)</f>
        <v/>
      </c>
      <c r="X263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264" spans="2:24" x14ac:dyDescent="0.45">
      <c r="B264" s="7"/>
      <c r="C264" s="7"/>
      <c r="D264" s="7"/>
      <c r="E264" s="7"/>
      <c r="F264" s="6"/>
      <c r="G264" s="6"/>
      <c r="H264" s="6"/>
      <c r="I264" s="6"/>
      <c r="J264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264" s="21"/>
      <c r="L264" s="7"/>
      <c r="M264" s="41"/>
      <c r="N264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264" s="26" t="str">
        <f>IF(
   T_Channel[[#This Row],[ProviderName]]="",
   "",
   COUNTIF($N$12:$N$9982,T_Channel[[#This Row],[ProviderName]])
)</f>
        <v/>
      </c>
      <c r="P264" s="26" t="str">
        <f>IF(
   T_Channel[[#This Row],[Check]]&lt;&gt;"OK",
   "",
   IF(
      T_Channel[[#This Row],[Query]]="",
      "Empty",
      "Defined"
   )
)</f>
        <v/>
      </c>
      <c r="Q264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264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264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26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264" s="20" t="str">
        <f>IF(
   T_Channel[[#This Row],[Check]]&lt;&gt;"OK",
   "",
   T_Channel[[#This Row],[ChannelSymbol]] &amp; ".evtx"
)</f>
        <v/>
      </c>
      <c r="V264" s="20" t="str">
        <f>IF(
   T_Channel[[#This Row],[Check]]&lt;&gt;"OK",
   "",
   T_Channel[[#This Row],[LogFolder]] &amp; "\" &amp; T_Channel[[#This Row],[LogFile]]
)</f>
        <v/>
      </c>
      <c r="W264" s="20" t="str">
        <f>IF(
   T_Channel[[#This Row],[Safekeeping of logs]]="",
   "",
   VLOOKUP(T_Channel[[#This Row],[Safekeeping of logs]],T_List_LogMode[],2,FALSE)
)</f>
        <v/>
      </c>
      <c r="X264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265" spans="2:24" x14ac:dyDescent="0.45">
      <c r="B265" s="7"/>
      <c r="C265" s="7"/>
      <c r="D265" s="7"/>
      <c r="E265" s="7"/>
      <c r="F265" s="6"/>
      <c r="G265" s="6"/>
      <c r="H265" s="6"/>
      <c r="I265" s="6"/>
      <c r="J265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265" s="21"/>
      <c r="L265" s="7"/>
      <c r="M265" s="41"/>
      <c r="N265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265" s="26" t="str">
        <f>IF(
   T_Channel[[#This Row],[ProviderName]]="",
   "",
   COUNTIF($N$12:$N$9982,T_Channel[[#This Row],[ProviderName]])
)</f>
        <v/>
      </c>
      <c r="P265" s="26" t="str">
        <f>IF(
   T_Channel[[#This Row],[Check]]&lt;&gt;"OK",
   "",
   IF(
      T_Channel[[#This Row],[Query]]="",
      "Empty",
      "Defined"
   )
)</f>
        <v/>
      </c>
      <c r="Q265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265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265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26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265" s="20" t="str">
        <f>IF(
   T_Channel[[#This Row],[Check]]&lt;&gt;"OK",
   "",
   T_Channel[[#This Row],[ChannelSymbol]] &amp; ".evtx"
)</f>
        <v/>
      </c>
      <c r="V265" s="20" t="str">
        <f>IF(
   T_Channel[[#This Row],[Check]]&lt;&gt;"OK",
   "",
   T_Channel[[#This Row],[LogFolder]] &amp; "\" &amp; T_Channel[[#This Row],[LogFile]]
)</f>
        <v/>
      </c>
      <c r="W265" s="20" t="str">
        <f>IF(
   T_Channel[[#This Row],[Safekeeping of logs]]="",
   "",
   VLOOKUP(T_Channel[[#This Row],[Safekeeping of logs]],T_List_LogMode[],2,FALSE)
)</f>
        <v/>
      </c>
      <c r="X265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266" spans="2:24" x14ac:dyDescent="0.45">
      <c r="B266" s="7"/>
      <c r="C266" s="7"/>
      <c r="D266" s="7"/>
      <c r="E266" s="7"/>
      <c r="F266" s="6"/>
      <c r="G266" s="6"/>
      <c r="H266" s="6"/>
      <c r="I266" s="6"/>
      <c r="J266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266" s="21"/>
      <c r="L266" s="7"/>
      <c r="M266" s="41"/>
      <c r="N266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266" s="26" t="str">
        <f>IF(
   T_Channel[[#This Row],[ProviderName]]="",
   "",
   COUNTIF($N$12:$N$9982,T_Channel[[#This Row],[ProviderName]])
)</f>
        <v/>
      </c>
      <c r="P266" s="26" t="str">
        <f>IF(
   T_Channel[[#This Row],[Check]]&lt;&gt;"OK",
   "",
   IF(
      T_Channel[[#This Row],[Query]]="",
      "Empty",
      "Defined"
   )
)</f>
        <v/>
      </c>
      <c r="Q266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266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266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26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266" s="20" t="str">
        <f>IF(
   T_Channel[[#This Row],[Check]]&lt;&gt;"OK",
   "",
   T_Channel[[#This Row],[ChannelSymbol]] &amp; ".evtx"
)</f>
        <v/>
      </c>
      <c r="V266" s="20" t="str">
        <f>IF(
   T_Channel[[#This Row],[Check]]&lt;&gt;"OK",
   "",
   T_Channel[[#This Row],[LogFolder]] &amp; "\" &amp; T_Channel[[#This Row],[LogFile]]
)</f>
        <v/>
      </c>
      <c r="W266" s="20" t="str">
        <f>IF(
   T_Channel[[#This Row],[Safekeeping of logs]]="",
   "",
   VLOOKUP(T_Channel[[#This Row],[Safekeeping of logs]],T_List_LogMode[],2,FALSE)
)</f>
        <v/>
      </c>
      <c r="X266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267" spans="2:24" x14ac:dyDescent="0.45">
      <c r="B267" s="7"/>
      <c r="C267" s="7"/>
      <c r="D267" s="7"/>
      <c r="E267" s="7"/>
      <c r="F267" s="6"/>
      <c r="G267" s="6"/>
      <c r="H267" s="6"/>
      <c r="I267" s="6"/>
      <c r="J267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267" s="21"/>
      <c r="L267" s="7"/>
      <c r="M267" s="41"/>
      <c r="N267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267" s="26" t="str">
        <f>IF(
   T_Channel[[#This Row],[ProviderName]]="",
   "",
   COUNTIF($N$12:$N$9982,T_Channel[[#This Row],[ProviderName]])
)</f>
        <v/>
      </c>
      <c r="P267" s="26" t="str">
        <f>IF(
   T_Channel[[#This Row],[Check]]&lt;&gt;"OK",
   "",
   IF(
      T_Channel[[#This Row],[Query]]="",
      "Empty",
      "Defined"
   )
)</f>
        <v/>
      </c>
      <c r="Q267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267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267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26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267" s="20" t="str">
        <f>IF(
   T_Channel[[#This Row],[Check]]&lt;&gt;"OK",
   "",
   T_Channel[[#This Row],[ChannelSymbol]] &amp; ".evtx"
)</f>
        <v/>
      </c>
      <c r="V267" s="20" t="str">
        <f>IF(
   T_Channel[[#This Row],[Check]]&lt;&gt;"OK",
   "",
   T_Channel[[#This Row],[LogFolder]] &amp; "\" &amp; T_Channel[[#This Row],[LogFile]]
)</f>
        <v/>
      </c>
      <c r="W267" s="20" t="str">
        <f>IF(
   T_Channel[[#This Row],[Safekeeping of logs]]="",
   "",
   VLOOKUP(T_Channel[[#This Row],[Safekeeping of logs]],T_List_LogMode[],2,FALSE)
)</f>
        <v/>
      </c>
      <c r="X267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268" spans="2:24" x14ac:dyDescent="0.45">
      <c r="B268" s="7"/>
      <c r="C268" s="7"/>
      <c r="D268" s="7"/>
      <c r="E268" s="7"/>
      <c r="F268" s="6"/>
      <c r="G268" s="6"/>
      <c r="H268" s="6"/>
      <c r="I268" s="6"/>
      <c r="J268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268" s="21"/>
      <c r="L268" s="7"/>
      <c r="M268" s="41"/>
      <c r="N268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268" s="26" t="str">
        <f>IF(
   T_Channel[[#This Row],[ProviderName]]="",
   "",
   COUNTIF($N$12:$N$9982,T_Channel[[#This Row],[ProviderName]])
)</f>
        <v/>
      </c>
      <c r="P268" s="26" t="str">
        <f>IF(
   T_Channel[[#This Row],[Check]]&lt;&gt;"OK",
   "",
   IF(
      T_Channel[[#This Row],[Query]]="",
      "Empty",
      "Defined"
   )
)</f>
        <v/>
      </c>
      <c r="Q268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268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268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26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268" s="20" t="str">
        <f>IF(
   T_Channel[[#This Row],[Check]]&lt;&gt;"OK",
   "",
   T_Channel[[#This Row],[ChannelSymbol]] &amp; ".evtx"
)</f>
        <v/>
      </c>
      <c r="V268" s="20" t="str">
        <f>IF(
   T_Channel[[#This Row],[Check]]&lt;&gt;"OK",
   "",
   T_Channel[[#This Row],[LogFolder]] &amp; "\" &amp; T_Channel[[#This Row],[LogFile]]
)</f>
        <v/>
      </c>
      <c r="W268" s="20" t="str">
        <f>IF(
   T_Channel[[#This Row],[Safekeeping of logs]]="",
   "",
   VLOOKUP(T_Channel[[#This Row],[Safekeeping of logs]],T_List_LogMode[],2,FALSE)
)</f>
        <v/>
      </c>
      <c r="X268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269" spans="2:24" x14ac:dyDescent="0.45">
      <c r="B269" s="7"/>
      <c r="C269" s="7"/>
      <c r="D269" s="7"/>
      <c r="E269" s="7"/>
      <c r="F269" s="6"/>
      <c r="G269" s="6"/>
      <c r="H269" s="6"/>
      <c r="I269" s="6"/>
      <c r="J269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269" s="21"/>
      <c r="L269" s="7"/>
      <c r="M269" s="41"/>
      <c r="N269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269" s="26" t="str">
        <f>IF(
   T_Channel[[#This Row],[ProviderName]]="",
   "",
   COUNTIF($N$12:$N$9982,T_Channel[[#This Row],[ProviderName]])
)</f>
        <v/>
      </c>
      <c r="P269" s="26" t="str">
        <f>IF(
   T_Channel[[#This Row],[Check]]&lt;&gt;"OK",
   "",
   IF(
      T_Channel[[#This Row],[Query]]="",
      "Empty",
      "Defined"
   )
)</f>
        <v/>
      </c>
      <c r="Q269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269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269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26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269" s="20" t="str">
        <f>IF(
   T_Channel[[#This Row],[Check]]&lt;&gt;"OK",
   "",
   T_Channel[[#This Row],[ChannelSymbol]] &amp; ".evtx"
)</f>
        <v/>
      </c>
      <c r="V269" s="20" t="str">
        <f>IF(
   T_Channel[[#This Row],[Check]]&lt;&gt;"OK",
   "",
   T_Channel[[#This Row],[LogFolder]] &amp; "\" &amp; T_Channel[[#This Row],[LogFile]]
)</f>
        <v/>
      </c>
      <c r="W269" s="20" t="str">
        <f>IF(
   T_Channel[[#This Row],[Safekeeping of logs]]="",
   "",
   VLOOKUP(T_Channel[[#This Row],[Safekeeping of logs]],T_List_LogMode[],2,FALSE)
)</f>
        <v/>
      </c>
      <c r="X269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270" spans="2:24" x14ac:dyDescent="0.45">
      <c r="B270" s="7"/>
      <c r="C270" s="7"/>
      <c r="D270" s="7"/>
      <c r="E270" s="7"/>
      <c r="F270" s="6"/>
      <c r="G270" s="6"/>
      <c r="H270" s="6"/>
      <c r="I270" s="6"/>
      <c r="J270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270" s="21"/>
      <c r="L270" s="7"/>
      <c r="M270" s="41"/>
      <c r="N270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270" s="26" t="str">
        <f>IF(
   T_Channel[[#This Row],[ProviderName]]="",
   "",
   COUNTIF($N$12:$N$9982,T_Channel[[#This Row],[ProviderName]])
)</f>
        <v/>
      </c>
      <c r="P270" s="26" t="str">
        <f>IF(
   T_Channel[[#This Row],[Check]]&lt;&gt;"OK",
   "",
   IF(
      T_Channel[[#This Row],[Query]]="",
      "Empty",
      "Defined"
   )
)</f>
        <v/>
      </c>
      <c r="Q270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270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270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27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270" s="20" t="str">
        <f>IF(
   T_Channel[[#This Row],[Check]]&lt;&gt;"OK",
   "",
   T_Channel[[#This Row],[ChannelSymbol]] &amp; ".evtx"
)</f>
        <v/>
      </c>
      <c r="V270" s="20" t="str">
        <f>IF(
   T_Channel[[#This Row],[Check]]&lt;&gt;"OK",
   "",
   T_Channel[[#This Row],[LogFolder]] &amp; "\" &amp; T_Channel[[#This Row],[LogFile]]
)</f>
        <v/>
      </c>
      <c r="W270" s="20" t="str">
        <f>IF(
   T_Channel[[#This Row],[Safekeeping of logs]]="",
   "",
   VLOOKUP(T_Channel[[#This Row],[Safekeeping of logs]],T_List_LogMode[],2,FALSE)
)</f>
        <v/>
      </c>
      <c r="X270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271" spans="2:24" x14ac:dyDescent="0.45">
      <c r="B271" s="7"/>
      <c r="C271" s="7"/>
      <c r="D271" s="7"/>
      <c r="E271" s="7"/>
      <c r="F271" s="6"/>
      <c r="G271" s="6"/>
      <c r="H271" s="6"/>
      <c r="I271" s="6"/>
      <c r="J271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271" s="21"/>
      <c r="L271" s="7"/>
      <c r="M271" s="41"/>
      <c r="N271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271" s="26" t="str">
        <f>IF(
   T_Channel[[#This Row],[ProviderName]]="",
   "",
   COUNTIF($N$12:$N$9982,T_Channel[[#This Row],[ProviderName]])
)</f>
        <v/>
      </c>
      <c r="P271" s="26" t="str">
        <f>IF(
   T_Channel[[#This Row],[Check]]&lt;&gt;"OK",
   "",
   IF(
      T_Channel[[#This Row],[Query]]="",
      "Empty",
      "Defined"
   )
)</f>
        <v/>
      </c>
      <c r="Q271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271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271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27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271" s="20" t="str">
        <f>IF(
   T_Channel[[#This Row],[Check]]&lt;&gt;"OK",
   "",
   T_Channel[[#This Row],[ChannelSymbol]] &amp; ".evtx"
)</f>
        <v/>
      </c>
      <c r="V271" s="20" t="str">
        <f>IF(
   T_Channel[[#This Row],[Check]]&lt;&gt;"OK",
   "",
   T_Channel[[#This Row],[LogFolder]] &amp; "\" &amp; T_Channel[[#This Row],[LogFile]]
)</f>
        <v/>
      </c>
      <c r="W271" s="20" t="str">
        <f>IF(
   T_Channel[[#This Row],[Safekeeping of logs]]="",
   "",
   VLOOKUP(T_Channel[[#This Row],[Safekeeping of logs]],T_List_LogMode[],2,FALSE)
)</f>
        <v/>
      </c>
      <c r="X271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272" spans="2:24" x14ac:dyDescent="0.45">
      <c r="B272" s="7"/>
      <c r="C272" s="7"/>
      <c r="D272" s="7"/>
      <c r="E272" s="7"/>
      <c r="F272" s="6"/>
      <c r="G272" s="6"/>
      <c r="H272" s="6"/>
      <c r="I272" s="6"/>
      <c r="J272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272" s="21"/>
      <c r="L272" s="7"/>
      <c r="M272" s="41"/>
      <c r="N272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272" s="26" t="str">
        <f>IF(
   T_Channel[[#This Row],[ProviderName]]="",
   "",
   COUNTIF($N$12:$N$9982,T_Channel[[#This Row],[ProviderName]])
)</f>
        <v/>
      </c>
      <c r="P272" s="26" t="str">
        <f>IF(
   T_Channel[[#This Row],[Check]]&lt;&gt;"OK",
   "",
   IF(
      T_Channel[[#This Row],[Query]]="",
      "Empty",
      "Defined"
   )
)</f>
        <v/>
      </c>
      <c r="Q272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272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272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27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272" s="20" t="str">
        <f>IF(
   T_Channel[[#This Row],[Check]]&lt;&gt;"OK",
   "",
   T_Channel[[#This Row],[ChannelSymbol]] &amp; ".evtx"
)</f>
        <v/>
      </c>
      <c r="V272" s="20" t="str">
        <f>IF(
   T_Channel[[#This Row],[Check]]&lt;&gt;"OK",
   "",
   T_Channel[[#This Row],[LogFolder]] &amp; "\" &amp; T_Channel[[#This Row],[LogFile]]
)</f>
        <v/>
      </c>
      <c r="W272" s="20" t="str">
        <f>IF(
   T_Channel[[#This Row],[Safekeeping of logs]]="",
   "",
   VLOOKUP(T_Channel[[#This Row],[Safekeeping of logs]],T_List_LogMode[],2,FALSE)
)</f>
        <v/>
      </c>
      <c r="X272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273" spans="2:24" x14ac:dyDescent="0.45">
      <c r="B273" s="7"/>
      <c r="C273" s="7"/>
      <c r="D273" s="7"/>
      <c r="E273" s="7"/>
      <c r="F273" s="6"/>
      <c r="G273" s="6"/>
      <c r="H273" s="6"/>
      <c r="I273" s="6"/>
      <c r="J273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273" s="21"/>
      <c r="L273" s="7"/>
      <c r="M273" s="41"/>
      <c r="N273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273" s="26" t="str">
        <f>IF(
   T_Channel[[#This Row],[ProviderName]]="",
   "",
   COUNTIF($N$12:$N$9982,T_Channel[[#This Row],[ProviderName]])
)</f>
        <v/>
      </c>
      <c r="P273" s="26" t="str">
        <f>IF(
   T_Channel[[#This Row],[Check]]&lt;&gt;"OK",
   "",
   IF(
      T_Channel[[#This Row],[Query]]="",
      "Empty",
      "Defined"
   )
)</f>
        <v/>
      </c>
      <c r="Q273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273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273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27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273" s="20" t="str">
        <f>IF(
   T_Channel[[#This Row],[Check]]&lt;&gt;"OK",
   "",
   T_Channel[[#This Row],[ChannelSymbol]] &amp; ".evtx"
)</f>
        <v/>
      </c>
      <c r="V273" s="20" t="str">
        <f>IF(
   T_Channel[[#This Row],[Check]]&lt;&gt;"OK",
   "",
   T_Channel[[#This Row],[LogFolder]] &amp; "\" &amp; T_Channel[[#This Row],[LogFile]]
)</f>
        <v/>
      </c>
      <c r="W273" s="20" t="str">
        <f>IF(
   T_Channel[[#This Row],[Safekeeping of logs]]="",
   "",
   VLOOKUP(T_Channel[[#This Row],[Safekeeping of logs]],T_List_LogMode[],2,FALSE)
)</f>
        <v/>
      </c>
      <c r="X273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274" spans="2:24" x14ac:dyDescent="0.45">
      <c r="B274" s="7"/>
      <c r="C274" s="7"/>
      <c r="D274" s="7"/>
      <c r="E274" s="7"/>
      <c r="F274" s="6"/>
      <c r="G274" s="6"/>
      <c r="H274" s="6"/>
      <c r="I274" s="6"/>
      <c r="J274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274" s="21"/>
      <c r="L274" s="7"/>
      <c r="M274" s="41"/>
      <c r="N274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274" s="26" t="str">
        <f>IF(
   T_Channel[[#This Row],[ProviderName]]="",
   "",
   COUNTIF($N$12:$N$9982,T_Channel[[#This Row],[ProviderName]])
)</f>
        <v/>
      </c>
      <c r="P274" s="26" t="str">
        <f>IF(
   T_Channel[[#This Row],[Check]]&lt;&gt;"OK",
   "",
   IF(
      T_Channel[[#This Row],[Query]]="",
      "Empty",
      "Defined"
   )
)</f>
        <v/>
      </c>
      <c r="Q274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274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274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27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274" s="20" t="str">
        <f>IF(
   T_Channel[[#This Row],[Check]]&lt;&gt;"OK",
   "",
   T_Channel[[#This Row],[ChannelSymbol]] &amp; ".evtx"
)</f>
        <v/>
      </c>
      <c r="V274" s="20" t="str">
        <f>IF(
   T_Channel[[#This Row],[Check]]&lt;&gt;"OK",
   "",
   T_Channel[[#This Row],[LogFolder]] &amp; "\" &amp; T_Channel[[#This Row],[LogFile]]
)</f>
        <v/>
      </c>
      <c r="W274" s="20" t="str">
        <f>IF(
   T_Channel[[#This Row],[Safekeeping of logs]]="",
   "",
   VLOOKUP(T_Channel[[#This Row],[Safekeeping of logs]],T_List_LogMode[],2,FALSE)
)</f>
        <v/>
      </c>
      <c r="X274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275" spans="2:24" x14ac:dyDescent="0.45">
      <c r="B275" s="7"/>
      <c r="C275" s="7"/>
      <c r="D275" s="7"/>
      <c r="E275" s="7"/>
      <c r="F275" s="6"/>
      <c r="G275" s="6"/>
      <c r="H275" s="6"/>
      <c r="I275" s="6"/>
      <c r="J275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275" s="21"/>
      <c r="L275" s="7"/>
      <c r="M275" s="41"/>
      <c r="N275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275" s="26" t="str">
        <f>IF(
   T_Channel[[#This Row],[ProviderName]]="",
   "",
   COUNTIF($N$12:$N$9982,T_Channel[[#This Row],[ProviderName]])
)</f>
        <v/>
      </c>
      <c r="P275" s="26" t="str">
        <f>IF(
   T_Channel[[#This Row],[Check]]&lt;&gt;"OK",
   "",
   IF(
      T_Channel[[#This Row],[Query]]="",
      "Empty",
      "Defined"
   )
)</f>
        <v/>
      </c>
      <c r="Q275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275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275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27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275" s="20" t="str">
        <f>IF(
   T_Channel[[#This Row],[Check]]&lt;&gt;"OK",
   "",
   T_Channel[[#This Row],[ChannelSymbol]] &amp; ".evtx"
)</f>
        <v/>
      </c>
      <c r="V275" s="20" t="str">
        <f>IF(
   T_Channel[[#This Row],[Check]]&lt;&gt;"OK",
   "",
   T_Channel[[#This Row],[LogFolder]] &amp; "\" &amp; T_Channel[[#This Row],[LogFile]]
)</f>
        <v/>
      </c>
      <c r="W275" s="20" t="str">
        <f>IF(
   T_Channel[[#This Row],[Safekeeping of logs]]="",
   "",
   VLOOKUP(T_Channel[[#This Row],[Safekeeping of logs]],T_List_LogMode[],2,FALSE)
)</f>
        <v/>
      </c>
      <c r="X275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276" spans="2:24" x14ac:dyDescent="0.45">
      <c r="B276" s="7"/>
      <c r="C276" s="7"/>
      <c r="D276" s="7"/>
      <c r="E276" s="7"/>
      <c r="F276" s="6"/>
      <c r="G276" s="6"/>
      <c r="H276" s="6"/>
      <c r="I276" s="6"/>
      <c r="J276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276" s="21"/>
      <c r="L276" s="7"/>
      <c r="M276" s="41"/>
      <c r="N276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276" s="26" t="str">
        <f>IF(
   T_Channel[[#This Row],[ProviderName]]="",
   "",
   COUNTIF($N$12:$N$9982,T_Channel[[#This Row],[ProviderName]])
)</f>
        <v/>
      </c>
      <c r="P276" s="26" t="str">
        <f>IF(
   T_Channel[[#This Row],[Check]]&lt;&gt;"OK",
   "",
   IF(
      T_Channel[[#This Row],[Query]]="",
      "Empty",
      "Defined"
   )
)</f>
        <v/>
      </c>
      <c r="Q276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276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276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27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276" s="20" t="str">
        <f>IF(
   T_Channel[[#This Row],[Check]]&lt;&gt;"OK",
   "",
   T_Channel[[#This Row],[ChannelSymbol]] &amp; ".evtx"
)</f>
        <v/>
      </c>
      <c r="V276" s="20" t="str">
        <f>IF(
   T_Channel[[#This Row],[Check]]&lt;&gt;"OK",
   "",
   T_Channel[[#This Row],[LogFolder]] &amp; "\" &amp; T_Channel[[#This Row],[LogFile]]
)</f>
        <v/>
      </c>
      <c r="W276" s="20" t="str">
        <f>IF(
   T_Channel[[#This Row],[Safekeeping of logs]]="",
   "",
   VLOOKUP(T_Channel[[#This Row],[Safekeeping of logs]],T_List_LogMode[],2,FALSE)
)</f>
        <v/>
      </c>
      <c r="X276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277" spans="2:24" x14ac:dyDescent="0.45">
      <c r="B277" s="7"/>
      <c r="C277" s="7"/>
      <c r="D277" s="7"/>
      <c r="E277" s="7"/>
      <c r="F277" s="6"/>
      <c r="G277" s="6"/>
      <c r="H277" s="6"/>
      <c r="I277" s="6"/>
      <c r="J277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277" s="21"/>
      <c r="L277" s="7"/>
      <c r="M277" s="41"/>
      <c r="N277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277" s="26" t="str">
        <f>IF(
   T_Channel[[#This Row],[ProviderName]]="",
   "",
   COUNTIF($N$12:$N$9982,T_Channel[[#This Row],[ProviderName]])
)</f>
        <v/>
      </c>
      <c r="P277" s="26" t="str">
        <f>IF(
   T_Channel[[#This Row],[Check]]&lt;&gt;"OK",
   "",
   IF(
      T_Channel[[#This Row],[Query]]="",
      "Empty",
      "Defined"
   )
)</f>
        <v/>
      </c>
      <c r="Q277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277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277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27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277" s="20" t="str">
        <f>IF(
   T_Channel[[#This Row],[Check]]&lt;&gt;"OK",
   "",
   T_Channel[[#This Row],[ChannelSymbol]] &amp; ".evtx"
)</f>
        <v/>
      </c>
      <c r="V277" s="20" t="str">
        <f>IF(
   T_Channel[[#This Row],[Check]]&lt;&gt;"OK",
   "",
   T_Channel[[#This Row],[LogFolder]] &amp; "\" &amp; T_Channel[[#This Row],[LogFile]]
)</f>
        <v/>
      </c>
      <c r="W277" s="20" t="str">
        <f>IF(
   T_Channel[[#This Row],[Safekeeping of logs]]="",
   "",
   VLOOKUP(T_Channel[[#This Row],[Safekeeping of logs]],T_List_LogMode[],2,FALSE)
)</f>
        <v/>
      </c>
      <c r="X277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278" spans="2:24" x14ac:dyDescent="0.45">
      <c r="B278" s="7"/>
      <c r="C278" s="7"/>
      <c r="D278" s="7"/>
      <c r="E278" s="7"/>
      <c r="F278" s="6"/>
      <c r="G278" s="6"/>
      <c r="H278" s="6"/>
      <c r="I278" s="6"/>
      <c r="J278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278" s="21"/>
      <c r="L278" s="7"/>
      <c r="M278" s="41"/>
      <c r="N278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278" s="26" t="str">
        <f>IF(
   T_Channel[[#This Row],[ProviderName]]="",
   "",
   COUNTIF($N$12:$N$9982,T_Channel[[#This Row],[ProviderName]])
)</f>
        <v/>
      </c>
      <c r="P278" s="26" t="str">
        <f>IF(
   T_Channel[[#This Row],[Check]]&lt;&gt;"OK",
   "",
   IF(
      T_Channel[[#This Row],[Query]]="",
      "Empty",
      "Defined"
   )
)</f>
        <v/>
      </c>
      <c r="Q278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278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278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27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278" s="20" t="str">
        <f>IF(
   T_Channel[[#This Row],[Check]]&lt;&gt;"OK",
   "",
   T_Channel[[#This Row],[ChannelSymbol]] &amp; ".evtx"
)</f>
        <v/>
      </c>
      <c r="V278" s="20" t="str">
        <f>IF(
   T_Channel[[#This Row],[Check]]&lt;&gt;"OK",
   "",
   T_Channel[[#This Row],[LogFolder]] &amp; "\" &amp; T_Channel[[#This Row],[LogFile]]
)</f>
        <v/>
      </c>
      <c r="W278" s="20" t="str">
        <f>IF(
   T_Channel[[#This Row],[Safekeeping of logs]]="",
   "",
   VLOOKUP(T_Channel[[#This Row],[Safekeeping of logs]],T_List_LogMode[],2,FALSE)
)</f>
        <v/>
      </c>
      <c r="X278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279" spans="2:24" x14ac:dyDescent="0.45">
      <c r="B279" s="7"/>
      <c r="C279" s="7"/>
      <c r="D279" s="7"/>
      <c r="E279" s="7"/>
      <c r="F279" s="6"/>
      <c r="G279" s="6"/>
      <c r="H279" s="6"/>
      <c r="I279" s="6"/>
      <c r="J279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279" s="21"/>
      <c r="L279" s="7"/>
      <c r="M279" s="41"/>
      <c r="N279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279" s="26" t="str">
        <f>IF(
   T_Channel[[#This Row],[ProviderName]]="",
   "",
   COUNTIF($N$12:$N$9982,T_Channel[[#This Row],[ProviderName]])
)</f>
        <v/>
      </c>
      <c r="P279" s="26" t="str">
        <f>IF(
   T_Channel[[#This Row],[Check]]&lt;&gt;"OK",
   "",
   IF(
      T_Channel[[#This Row],[Query]]="",
      "Empty",
      "Defined"
   )
)</f>
        <v/>
      </c>
      <c r="Q279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279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279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27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279" s="20" t="str">
        <f>IF(
   T_Channel[[#This Row],[Check]]&lt;&gt;"OK",
   "",
   T_Channel[[#This Row],[ChannelSymbol]] &amp; ".evtx"
)</f>
        <v/>
      </c>
      <c r="V279" s="20" t="str">
        <f>IF(
   T_Channel[[#This Row],[Check]]&lt;&gt;"OK",
   "",
   T_Channel[[#This Row],[LogFolder]] &amp; "\" &amp; T_Channel[[#This Row],[LogFile]]
)</f>
        <v/>
      </c>
      <c r="W279" s="20" t="str">
        <f>IF(
   T_Channel[[#This Row],[Safekeeping of logs]]="",
   "",
   VLOOKUP(T_Channel[[#This Row],[Safekeeping of logs]],T_List_LogMode[],2,FALSE)
)</f>
        <v/>
      </c>
      <c r="X279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280" spans="2:24" x14ac:dyDescent="0.45">
      <c r="B280" s="7"/>
      <c r="C280" s="7"/>
      <c r="D280" s="7"/>
      <c r="E280" s="7"/>
      <c r="F280" s="6"/>
      <c r="G280" s="6"/>
      <c r="H280" s="6"/>
      <c r="I280" s="6"/>
      <c r="J280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280" s="21"/>
      <c r="L280" s="7"/>
      <c r="M280" s="41"/>
      <c r="N280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280" s="26" t="str">
        <f>IF(
   T_Channel[[#This Row],[ProviderName]]="",
   "",
   COUNTIF($N$12:$N$9982,T_Channel[[#This Row],[ProviderName]])
)</f>
        <v/>
      </c>
      <c r="P280" s="26" t="str">
        <f>IF(
   T_Channel[[#This Row],[Check]]&lt;&gt;"OK",
   "",
   IF(
      T_Channel[[#This Row],[Query]]="",
      "Empty",
      "Defined"
   )
)</f>
        <v/>
      </c>
      <c r="Q280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280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280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28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280" s="20" t="str">
        <f>IF(
   T_Channel[[#This Row],[Check]]&lt;&gt;"OK",
   "",
   T_Channel[[#This Row],[ChannelSymbol]] &amp; ".evtx"
)</f>
        <v/>
      </c>
      <c r="V280" s="20" t="str">
        <f>IF(
   T_Channel[[#This Row],[Check]]&lt;&gt;"OK",
   "",
   T_Channel[[#This Row],[LogFolder]] &amp; "\" &amp; T_Channel[[#This Row],[LogFile]]
)</f>
        <v/>
      </c>
      <c r="W280" s="20" t="str">
        <f>IF(
   T_Channel[[#This Row],[Safekeeping of logs]]="",
   "",
   VLOOKUP(T_Channel[[#This Row],[Safekeeping of logs]],T_List_LogMode[],2,FALSE)
)</f>
        <v/>
      </c>
      <c r="X280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281" spans="2:24" x14ac:dyDescent="0.45">
      <c r="B281" s="7"/>
      <c r="C281" s="7"/>
      <c r="D281" s="7"/>
      <c r="E281" s="7"/>
      <c r="F281" s="6"/>
      <c r="G281" s="6"/>
      <c r="H281" s="6"/>
      <c r="I281" s="6"/>
      <c r="J281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281" s="21"/>
      <c r="L281" s="7"/>
      <c r="M281" s="41"/>
      <c r="N281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281" s="26" t="str">
        <f>IF(
   T_Channel[[#This Row],[ProviderName]]="",
   "",
   COUNTIF($N$12:$N$9982,T_Channel[[#This Row],[ProviderName]])
)</f>
        <v/>
      </c>
      <c r="P281" s="26" t="str">
        <f>IF(
   T_Channel[[#This Row],[Check]]&lt;&gt;"OK",
   "",
   IF(
      T_Channel[[#This Row],[Query]]="",
      "Empty",
      "Defined"
   )
)</f>
        <v/>
      </c>
      <c r="Q281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281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281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28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281" s="20" t="str">
        <f>IF(
   T_Channel[[#This Row],[Check]]&lt;&gt;"OK",
   "",
   T_Channel[[#This Row],[ChannelSymbol]] &amp; ".evtx"
)</f>
        <v/>
      </c>
      <c r="V281" s="20" t="str">
        <f>IF(
   T_Channel[[#This Row],[Check]]&lt;&gt;"OK",
   "",
   T_Channel[[#This Row],[LogFolder]] &amp; "\" &amp; T_Channel[[#This Row],[LogFile]]
)</f>
        <v/>
      </c>
      <c r="W281" s="20" t="str">
        <f>IF(
   T_Channel[[#This Row],[Safekeeping of logs]]="",
   "",
   VLOOKUP(T_Channel[[#This Row],[Safekeeping of logs]],T_List_LogMode[],2,FALSE)
)</f>
        <v/>
      </c>
      <c r="X281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282" spans="2:24" x14ac:dyDescent="0.45">
      <c r="B282" s="7"/>
      <c r="C282" s="7"/>
      <c r="D282" s="7"/>
      <c r="E282" s="7"/>
      <c r="F282" s="6"/>
      <c r="G282" s="6"/>
      <c r="H282" s="6"/>
      <c r="I282" s="6"/>
      <c r="J282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282" s="21"/>
      <c r="L282" s="7"/>
      <c r="M282" s="41"/>
      <c r="N282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282" s="26" t="str">
        <f>IF(
   T_Channel[[#This Row],[ProviderName]]="",
   "",
   COUNTIF($N$12:$N$9982,T_Channel[[#This Row],[ProviderName]])
)</f>
        <v/>
      </c>
      <c r="P282" s="26" t="str">
        <f>IF(
   T_Channel[[#This Row],[Check]]&lt;&gt;"OK",
   "",
   IF(
      T_Channel[[#This Row],[Query]]="",
      "Empty",
      "Defined"
   )
)</f>
        <v/>
      </c>
      <c r="Q282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282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282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28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282" s="20" t="str">
        <f>IF(
   T_Channel[[#This Row],[Check]]&lt;&gt;"OK",
   "",
   T_Channel[[#This Row],[ChannelSymbol]] &amp; ".evtx"
)</f>
        <v/>
      </c>
      <c r="V282" s="20" t="str">
        <f>IF(
   T_Channel[[#This Row],[Check]]&lt;&gt;"OK",
   "",
   T_Channel[[#This Row],[LogFolder]] &amp; "\" &amp; T_Channel[[#This Row],[LogFile]]
)</f>
        <v/>
      </c>
      <c r="W282" s="20" t="str">
        <f>IF(
   T_Channel[[#This Row],[Safekeeping of logs]]="",
   "",
   VLOOKUP(T_Channel[[#This Row],[Safekeeping of logs]],T_List_LogMode[],2,FALSE)
)</f>
        <v/>
      </c>
      <c r="X282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283" spans="2:24" x14ac:dyDescent="0.45">
      <c r="B283" s="7"/>
      <c r="C283" s="7"/>
      <c r="D283" s="7"/>
      <c r="E283" s="7"/>
      <c r="F283" s="6"/>
      <c r="G283" s="6"/>
      <c r="H283" s="6"/>
      <c r="I283" s="6"/>
      <c r="J283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283" s="21"/>
      <c r="L283" s="7"/>
      <c r="M283" s="41"/>
      <c r="N283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283" s="26" t="str">
        <f>IF(
   T_Channel[[#This Row],[ProviderName]]="",
   "",
   COUNTIF($N$12:$N$9982,T_Channel[[#This Row],[ProviderName]])
)</f>
        <v/>
      </c>
      <c r="P283" s="26" t="str">
        <f>IF(
   T_Channel[[#This Row],[Check]]&lt;&gt;"OK",
   "",
   IF(
      T_Channel[[#This Row],[Query]]="",
      "Empty",
      "Defined"
   )
)</f>
        <v/>
      </c>
      <c r="Q283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283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283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28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283" s="20" t="str">
        <f>IF(
   T_Channel[[#This Row],[Check]]&lt;&gt;"OK",
   "",
   T_Channel[[#This Row],[ChannelSymbol]] &amp; ".evtx"
)</f>
        <v/>
      </c>
      <c r="V283" s="20" t="str">
        <f>IF(
   T_Channel[[#This Row],[Check]]&lt;&gt;"OK",
   "",
   T_Channel[[#This Row],[LogFolder]] &amp; "\" &amp; T_Channel[[#This Row],[LogFile]]
)</f>
        <v/>
      </c>
      <c r="W283" s="20" t="str">
        <f>IF(
   T_Channel[[#This Row],[Safekeeping of logs]]="",
   "",
   VLOOKUP(T_Channel[[#This Row],[Safekeeping of logs]],T_List_LogMode[],2,FALSE)
)</f>
        <v/>
      </c>
      <c r="X283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284" spans="2:24" x14ac:dyDescent="0.45">
      <c r="B284" s="7"/>
      <c r="C284" s="7"/>
      <c r="D284" s="7"/>
      <c r="E284" s="7"/>
      <c r="F284" s="6"/>
      <c r="G284" s="6"/>
      <c r="H284" s="6"/>
      <c r="I284" s="6"/>
      <c r="J284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284" s="21"/>
      <c r="L284" s="7"/>
      <c r="M284" s="41"/>
      <c r="N284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284" s="26" t="str">
        <f>IF(
   T_Channel[[#This Row],[ProviderName]]="",
   "",
   COUNTIF($N$12:$N$9982,T_Channel[[#This Row],[ProviderName]])
)</f>
        <v/>
      </c>
      <c r="P284" s="26" t="str">
        <f>IF(
   T_Channel[[#This Row],[Check]]&lt;&gt;"OK",
   "",
   IF(
      T_Channel[[#This Row],[Query]]="",
      "Empty",
      "Defined"
   )
)</f>
        <v/>
      </c>
      <c r="Q284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284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284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28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284" s="20" t="str">
        <f>IF(
   T_Channel[[#This Row],[Check]]&lt;&gt;"OK",
   "",
   T_Channel[[#This Row],[ChannelSymbol]] &amp; ".evtx"
)</f>
        <v/>
      </c>
      <c r="V284" s="20" t="str">
        <f>IF(
   T_Channel[[#This Row],[Check]]&lt;&gt;"OK",
   "",
   T_Channel[[#This Row],[LogFolder]] &amp; "\" &amp; T_Channel[[#This Row],[LogFile]]
)</f>
        <v/>
      </c>
      <c r="W284" s="20" t="str">
        <f>IF(
   T_Channel[[#This Row],[Safekeeping of logs]]="",
   "",
   VLOOKUP(T_Channel[[#This Row],[Safekeeping of logs]],T_List_LogMode[],2,FALSE)
)</f>
        <v/>
      </c>
      <c r="X284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285" spans="2:24" x14ac:dyDescent="0.45">
      <c r="B285" s="7"/>
      <c r="C285" s="7"/>
      <c r="D285" s="7"/>
      <c r="E285" s="7"/>
      <c r="F285" s="6"/>
      <c r="G285" s="6"/>
      <c r="H285" s="6"/>
      <c r="I285" s="6"/>
      <c r="J285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285" s="21"/>
      <c r="L285" s="7"/>
      <c r="M285" s="41"/>
      <c r="N285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285" s="26" t="str">
        <f>IF(
   T_Channel[[#This Row],[ProviderName]]="",
   "",
   COUNTIF($N$12:$N$9982,T_Channel[[#This Row],[ProviderName]])
)</f>
        <v/>
      </c>
      <c r="P285" s="26" t="str">
        <f>IF(
   T_Channel[[#This Row],[Check]]&lt;&gt;"OK",
   "",
   IF(
      T_Channel[[#This Row],[Query]]="",
      "Empty",
      "Defined"
   )
)</f>
        <v/>
      </c>
      <c r="Q285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285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285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28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285" s="20" t="str">
        <f>IF(
   T_Channel[[#This Row],[Check]]&lt;&gt;"OK",
   "",
   T_Channel[[#This Row],[ChannelSymbol]] &amp; ".evtx"
)</f>
        <v/>
      </c>
      <c r="V285" s="20" t="str">
        <f>IF(
   T_Channel[[#This Row],[Check]]&lt;&gt;"OK",
   "",
   T_Channel[[#This Row],[LogFolder]] &amp; "\" &amp; T_Channel[[#This Row],[LogFile]]
)</f>
        <v/>
      </c>
      <c r="W285" s="20" t="str">
        <f>IF(
   T_Channel[[#This Row],[Safekeeping of logs]]="",
   "",
   VLOOKUP(T_Channel[[#This Row],[Safekeeping of logs]],T_List_LogMode[],2,FALSE)
)</f>
        <v/>
      </c>
      <c r="X285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286" spans="2:24" x14ac:dyDescent="0.45">
      <c r="B286" s="7"/>
      <c r="C286" s="7"/>
      <c r="D286" s="7"/>
      <c r="E286" s="7"/>
      <c r="F286" s="6"/>
      <c r="G286" s="6"/>
      <c r="H286" s="6"/>
      <c r="I286" s="6"/>
      <c r="J286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286" s="21"/>
      <c r="L286" s="7"/>
      <c r="M286" s="41"/>
      <c r="N286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286" s="26" t="str">
        <f>IF(
   T_Channel[[#This Row],[ProviderName]]="",
   "",
   COUNTIF($N$12:$N$9982,T_Channel[[#This Row],[ProviderName]])
)</f>
        <v/>
      </c>
      <c r="P286" s="26" t="str">
        <f>IF(
   T_Channel[[#This Row],[Check]]&lt;&gt;"OK",
   "",
   IF(
      T_Channel[[#This Row],[Query]]="",
      "Empty",
      "Defined"
   )
)</f>
        <v/>
      </c>
      <c r="Q286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286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286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28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286" s="20" t="str">
        <f>IF(
   T_Channel[[#This Row],[Check]]&lt;&gt;"OK",
   "",
   T_Channel[[#This Row],[ChannelSymbol]] &amp; ".evtx"
)</f>
        <v/>
      </c>
      <c r="V286" s="20" t="str">
        <f>IF(
   T_Channel[[#This Row],[Check]]&lt;&gt;"OK",
   "",
   T_Channel[[#This Row],[LogFolder]] &amp; "\" &amp; T_Channel[[#This Row],[LogFile]]
)</f>
        <v/>
      </c>
      <c r="W286" s="20" t="str">
        <f>IF(
   T_Channel[[#This Row],[Safekeeping of logs]]="",
   "",
   VLOOKUP(T_Channel[[#This Row],[Safekeeping of logs]],T_List_LogMode[],2,FALSE)
)</f>
        <v/>
      </c>
      <c r="X286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287" spans="2:24" x14ac:dyDescent="0.45">
      <c r="B287" s="7"/>
      <c r="C287" s="7"/>
      <c r="D287" s="7"/>
      <c r="E287" s="7"/>
      <c r="F287" s="6"/>
      <c r="G287" s="6"/>
      <c r="H287" s="6"/>
      <c r="I287" s="6"/>
      <c r="J287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287" s="21"/>
      <c r="L287" s="7"/>
      <c r="M287" s="41"/>
      <c r="N287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287" s="26" t="str">
        <f>IF(
   T_Channel[[#This Row],[ProviderName]]="",
   "",
   COUNTIF($N$12:$N$9982,T_Channel[[#This Row],[ProviderName]])
)</f>
        <v/>
      </c>
      <c r="P287" s="26" t="str">
        <f>IF(
   T_Channel[[#This Row],[Check]]&lt;&gt;"OK",
   "",
   IF(
      T_Channel[[#This Row],[Query]]="",
      "Empty",
      "Defined"
   )
)</f>
        <v/>
      </c>
      <c r="Q287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287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287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28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287" s="20" t="str">
        <f>IF(
   T_Channel[[#This Row],[Check]]&lt;&gt;"OK",
   "",
   T_Channel[[#This Row],[ChannelSymbol]] &amp; ".evtx"
)</f>
        <v/>
      </c>
      <c r="V287" s="20" t="str">
        <f>IF(
   T_Channel[[#This Row],[Check]]&lt;&gt;"OK",
   "",
   T_Channel[[#This Row],[LogFolder]] &amp; "\" &amp; T_Channel[[#This Row],[LogFile]]
)</f>
        <v/>
      </c>
      <c r="W287" s="20" t="str">
        <f>IF(
   T_Channel[[#This Row],[Safekeeping of logs]]="",
   "",
   VLOOKUP(T_Channel[[#This Row],[Safekeeping of logs]],T_List_LogMode[],2,FALSE)
)</f>
        <v/>
      </c>
      <c r="X287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288" spans="2:24" x14ac:dyDescent="0.45">
      <c r="B288" s="7"/>
      <c r="C288" s="7"/>
      <c r="D288" s="7"/>
      <c r="E288" s="7"/>
      <c r="F288" s="6"/>
      <c r="G288" s="6"/>
      <c r="H288" s="6"/>
      <c r="I288" s="6"/>
      <c r="J288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288" s="21"/>
      <c r="L288" s="7"/>
      <c r="M288" s="41"/>
      <c r="N288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288" s="26" t="str">
        <f>IF(
   T_Channel[[#This Row],[ProviderName]]="",
   "",
   COUNTIF($N$12:$N$9982,T_Channel[[#This Row],[ProviderName]])
)</f>
        <v/>
      </c>
      <c r="P288" s="26" t="str">
        <f>IF(
   T_Channel[[#This Row],[Check]]&lt;&gt;"OK",
   "",
   IF(
      T_Channel[[#This Row],[Query]]="",
      "Empty",
      "Defined"
   )
)</f>
        <v/>
      </c>
      <c r="Q288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288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288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28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288" s="20" t="str">
        <f>IF(
   T_Channel[[#This Row],[Check]]&lt;&gt;"OK",
   "",
   T_Channel[[#This Row],[ChannelSymbol]] &amp; ".evtx"
)</f>
        <v/>
      </c>
      <c r="V288" s="20" t="str">
        <f>IF(
   T_Channel[[#This Row],[Check]]&lt;&gt;"OK",
   "",
   T_Channel[[#This Row],[LogFolder]] &amp; "\" &amp; T_Channel[[#This Row],[LogFile]]
)</f>
        <v/>
      </c>
      <c r="W288" s="20" t="str">
        <f>IF(
   T_Channel[[#This Row],[Safekeeping of logs]]="",
   "",
   VLOOKUP(T_Channel[[#This Row],[Safekeeping of logs]],T_List_LogMode[],2,FALSE)
)</f>
        <v/>
      </c>
      <c r="X288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289" spans="2:24" x14ac:dyDescent="0.45">
      <c r="B289" s="7"/>
      <c r="C289" s="7"/>
      <c r="D289" s="7"/>
      <c r="E289" s="7"/>
      <c r="F289" s="6"/>
      <c r="G289" s="6"/>
      <c r="H289" s="6"/>
      <c r="I289" s="6"/>
      <c r="J289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289" s="21"/>
      <c r="L289" s="7"/>
      <c r="M289" s="41"/>
      <c r="N289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289" s="26" t="str">
        <f>IF(
   T_Channel[[#This Row],[ProviderName]]="",
   "",
   COUNTIF($N$12:$N$9982,T_Channel[[#This Row],[ProviderName]])
)</f>
        <v/>
      </c>
      <c r="P289" s="26" t="str">
        <f>IF(
   T_Channel[[#This Row],[Check]]&lt;&gt;"OK",
   "",
   IF(
      T_Channel[[#This Row],[Query]]="",
      "Empty",
      "Defined"
   )
)</f>
        <v/>
      </c>
      <c r="Q289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289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289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28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289" s="20" t="str">
        <f>IF(
   T_Channel[[#This Row],[Check]]&lt;&gt;"OK",
   "",
   T_Channel[[#This Row],[ChannelSymbol]] &amp; ".evtx"
)</f>
        <v/>
      </c>
      <c r="V289" s="20" t="str">
        <f>IF(
   T_Channel[[#This Row],[Check]]&lt;&gt;"OK",
   "",
   T_Channel[[#This Row],[LogFolder]] &amp; "\" &amp; T_Channel[[#This Row],[LogFile]]
)</f>
        <v/>
      </c>
      <c r="W289" s="20" t="str">
        <f>IF(
   T_Channel[[#This Row],[Safekeeping of logs]]="",
   "",
   VLOOKUP(T_Channel[[#This Row],[Safekeeping of logs]],T_List_LogMode[],2,FALSE)
)</f>
        <v/>
      </c>
      <c r="X289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290" spans="2:24" x14ac:dyDescent="0.45">
      <c r="B290" s="7"/>
      <c r="C290" s="7"/>
      <c r="D290" s="7"/>
      <c r="E290" s="7"/>
      <c r="F290" s="6"/>
      <c r="G290" s="6"/>
      <c r="H290" s="6"/>
      <c r="I290" s="6"/>
      <c r="J290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290" s="21"/>
      <c r="L290" s="7"/>
      <c r="M290" s="41"/>
      <c r="N290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290" s="26" t="str">
        <f>IF(
   T_Channel[[#This Row],[ProviderName]]="",
   "",
   COUNTIF($N$12:$N$9982,T_Channel[[#This Row],[ProviderName]])
)</f>
        <v/>
      </c>
      <c r="P290" s="26" t="str">
        <f>IF(
   T_Channel[[#This Row],[Check]]&lt;&gt;"OK",
   "",
   IF(
      T_Channel[[#This Row],[Query]]="",
      "Empty",
      "Defined"
   )
)</f>
        <v/>
      </c>
      <c r="Q290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290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290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29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290" s="20" t="str">
        <f>IF(
   T_Channel[[#This Row],[Check]]&lt;&gt;"OK",
   "",
   T_Channel[[#This Row],[ChannelSymbol]] &amp; ".evtx"
)</f>
        <v/>
      </c>
      <c r="V290" s="20" t="str">
        <f>IF(
   T_Channel[[#This Row],[Check]]&lt;&gt;"OK",
   "",
   T_Channel[[#This Row],[LogFolder]] &amp; "\" &amp; T_Channel[[#This Row],[LogFile]]
)</f>
        <v/>
      </c>
      <c r="W290" s="20" t="str">
        <f>IF(
   T_Channel[[#This Row],[Safekeeping of logs]]="",
   "",
   VLOOKUP(T_Channel[[#This Row],[Safekeeping of logs]],T_List_LogMode[],2,FALSE)
)</f>
        <v/>
      </c>
      <c r="X290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291" spans="2:24" x14ac:dyDescent="0.45">
      <c r="B291" s="7"/>
      <c r="C291" s="7"/>
      <c r="D291" s="7"/>
      <c r="E291" s="7"/>
      <c r="F291" s="6"/>
      <c r="G291" s="6"/>
      <c r="H291" s="6"/>
      <c r="I291" s="6"/>
      <c r="J291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291" s="21"/>
      <c r="L291" s="7"/>
      <c r="M291" s="41"/>
      <c r="N291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291" s="26" t="str">
        <f>IF(
   T_Channel[[#This Row],[ProviderName]]="",
   "",
   COUNTIF($N$12:$N$9982,T_Channel[[#This Row],[ProviderName]])
)</f>
        <v/>
      </c>
      <c r="P291" s="26" t="str">
        <f>IF(
   T_Channel[[#This Row],[Check]]&lt;&gt;"OK",
   "",
   IF(
      T_Channel[[#This Row],[Query]]="",
      "Empty",
      "Defined"
   )
)</f>
        <v/>
      </c>
      <c r="Q291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291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291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29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291" s="20" t="str">
        <f>IF(
   T_Channel[[#This Row],[Check]]&lt;&gt;"OK",
   "",
   T_Channel[[#This Row],[ChannelSymbol]] &amp; ".evtx"
)</f>
        <v/>
      </c>
      <c r="V291" s="20" t="str">
        <f>IF(
   T_Channel[[#This Row],[Check]]&lt;&gt;"OK",
   "",
   T_Channel[[#This Row],[LogFolder]] &amp; "\" &amp; T_Channel[[#This Row],[LogFile]]
)</f>
        <v/>
      </c>
      <c r="W291" s="20" t="str">
        <f>IF(
   T_Channel[[#This Row],[Safekeeping of logs]]="",
   "",
   VLOOKUP(T_Channel[[#This Row],[Safekeeping of logs]],T_List_LogMode[],2,FALSE)
)</f>
        <v/>
      </c>
      <c r="X291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292" spans="2:24" x14ac:dyDescent="0.45">
      <c r="B292" s="7"/>
      <c r="C292" s="7"/>
      <c r="D292" s="7"/>
      <c r="E292" s="7"/>
      <c r="F292" s="6"/>
      <c r="G292" s="6"/>
      <c r="H292" s="6"/>
      <c r="I292" s="6"/>
      <c r="J292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292" s="21"/>
      <c r="L292" s="7"/>
      <c r="M292" s="41"/>
      <c r="N292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292" s="26" t="str">
        <f>IF(
   T_Channel[[#This Row],[ProviderName]]="",
   "",
   COUNTIF($N$12:$N$9982,T_Channel[[#This Row],[ProviderName]])
)</f>
        <v/>
      </c>
      <c r="P292" s="26" t="str">
        <f>IF(
   T_Channel[[#This Row],[Check]]&lt;&gt;"OK",
   "",
   IF(
      T_Channel[[#This Row],[Query]]="",
      "Empty",
      "Defined"
   )
)</f>
        <v/>
      </c>
      <c r="Q292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292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292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29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292" s="20" t="str">
        <f>IF(
   T_Channel[[#This Row],[Check]]&lt;&gt;"OK",
   "",
   T_Channel[[#This Row],[ChannelSymbol]] &amp; ".evtx"
)</f>
        <v/>
      </c>
      <c r="V292" s="20" t="str">
        <f>IF(
   T_Channel[[#This Row],[Check]]&lt;&gt;"OK",
   "",
   T_Channel[[#This Row],[LogFolder]] &amp; "\" &amp; T_Channel[[#This Row],[LogFile]]
)</f>
        <v/>
      </c>
      <c r="W292" s="20" t="str">
        <f>IF(
   T_Channel[[#This Row],[Safekeeping of logs]]="",
   "",
   VLOOKUP(T_Channel[[#This Row],[Safekeeping of logs]],T_List_LogMode[],2,FALSE)
)</f>
        <v/>
      </c>
      <c r="X292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293" spans="2:24" x14ac:dyDescent="0.45">
      <c r="B293" s="7"/>
      <c r="C293" s="7"/>
      <c r="D293" s="7"/>
      <c r="E293" s="7"/>
      <c r="F293" s="6"/>
      <c r="G293" s="6"/>
      <c r="H293" s="6"/>
      <c r="I293" s="6"/>
      <c r="J293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293" s="21"/>
      <c r="L293" s="7"/>
      <c r="M293" s="41"/>
      <c r="N293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293" s="26" t="str">
        <f>IF(
   T_Channel[[#This Row],[ProviderName]]="",
   "",
   COUNTIF($N$12:$N$9982,T_Channel[[#This Row],[ProviderName]])
)</f>
        <v/>
      </c>
      <c r="P293" s="26" t="str">
        <f>IF(
   T_Channel[[#This Row],[Check]]&lt;&gt;"OK",
   "",
   IF(
      T_Channel[[#This Row],[Query]]="",
      "Empty",
      "Defined"
   )
)</f>
        <v/>
      </c>
      <c r="Q293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293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293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29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293" s="20" t="str">
        <f>IF(
   T_Channel[[#This Row],[Check]]&lt;&gt;"OK",
   "",
   T_Channel[[#This Row],[ChannelSymbol]] &amp; ".evtx"
)</f>
        <v/>
      </c>
      <c r="V293" s="20" t="str">
        <f>IF(
   T_Channel[[#This Row],[Check]]&lt;&gt;"OK",
   "",
   T_Channel[[#This Row],[LogFolder]] &amp; "\" &amp; T_Channel[[#This Row],[LogFile]]
)</f>
        <v/>
      </c>
      <c r="W293" s="20" t="str">
        <f>IF(
   T_Channel[[#This Row],[Safekeeping of logs]]="",
   "",
   VLOOKUP(T_Channel[[#This Row],[Safekeeping of logs]],T_List_LogMode[],2,FALSE)
)</f>
        <v/>
      </c>
      <c r="X293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294" spans="2:24" x14ac:dyDescent="0.45">
      <c r="B294" s="7"/>
      <c r="C294" s="7"/>
      <c r="D294" s="7"/>
      <c r="E294" s="7"/>
      <c r="F294" s="6"/>
      <c r="G294" s="6"/>
      <c r="H294" s="6"/>
      <c r="I294" s="6"/>
      <c r="J294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294" s="21"/>
      <c r="L294" s="7"/>
      <c r="M294" s="41"/>
      <c r="N294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294" s="26" t="str">
        <f>IF(
   T_Channel[[#This Row],[ProviderName]]="",
   "",
   COUNTIF($N$12:$N$9982,T_Channel[[#This Row],[ProviderName]])
)</f>
        <v/>
      </c>
      <c r="P294" s="26" t="str">
        <f>IF(
   T_Channel[[#This Row],[Check]]&lt;&gt;"OK",
   "",
   IF(
      T_Channel[[#This Row],[Query]]="",
      "Empty",
      "Defined"
   )
)</f>
        <v/>
      </c>
      <c r="Q294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294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294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29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294" s="20" t="str">
        <f>IF(
   T_Channel[[#This Row],[Check]]&lt;&gt;"OK",
   "",
   T_Channel[[#This Row],[ChannelSymbol]] &amp; ".evtx"
)</f>
        <v/>
      </c>
      <c r="V294" s="20" t="str">
        <f>IF(
   T_Channel[[#This Row],[Check]]&lt;&gt;"OK",
   "",
   T_Channel[[#This Row],[LogFolder]] &amp; "\" &amp; T_Channel[[#This Row],[LogFile]]
)</f>
        <v/>
      </c>
      <c r="W294" s="20" t="str">
        <f>IF(
   T_Channel[[#This Row],[Safekeeping of logs]]="",
   "",
   VLOOKUP(T_Channel[[#This Row],[Safekeeping of logs]],T_List_LogMode[],2,FALSE)
)</f>
        <v/>
      </c>
      <c r="X294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295" spans="2:24" x14ac:dyDescent="0.45">
      <c r="B295" s="7"/>
      <c r="C295" s="7"/>
      <c r="D295" s="7"/>
      <c r="E295" s="7"/>
      <c r="F295" s="6"/>
      <c r="G295" s="6"/>
      <c r="H295" s="6"/>
      <c r="I295" s="6"/>
      <c r="J295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295" s="21"/>
      <c r="L295" s="7"/>
      <c r="M295" s="41"/>
      <c r="N295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295" s="26" t="str">
        <f>IF(
   T_Channel[[#This Row],[ProviderName]]="",
   "",
   COUNTIF($N$12:$N$9982,T_Channel[[#This Row],[ProviderName]])
)</f>
        <v/>
      </c>
      <c r="P295" s="26" t="str">
        <f>IF(
   T_Channel[[#This Row],[Check]]&lt;&gt;"OK",
   "",
   IF(
      T_Channel[[#This Row],[Query]]="",
      "Empty",
      "Defined"
   )
)</f>
        <v/>
      </c>
      <c r="Q295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295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295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29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295" s="20" t="str">
        <f>IF(
   T_Channel[[#This Row],[Check]]&lt;&gt;"OK",
   "",
   T_Channel[[#This Row],[ChannelSymbol]] &amp; ".evtx"
)</f>
        <v/>
      </c>
      <c r="V295" s="20" t="str">
        <f>IF(
   T_Channel[[#This Row],[Check]]&lt;&gt;"OK",
   "",
   T_Channel[[#This Row],[LogFolder]] &amp; "\" &amp; T_Channel[[#This Row],[LogFile]]
)</f>
        <v/>
      </c>
      <c r="W295" s="20" t="str">
        <f>IF(
   T_Channel[[#This Row],[Safekeeping of logs]]="",
   "",
   VLOOKUP(T_Channel[[#This Row],[Safekeeping of logs]],T_List_LogMode[],2,FALSE)
)</f>
        <v/>
      </c>
      <c r="X295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296" spans="2:24" x14ac:dyDescent="0.45">
      <c r="B296" s="7"/>
      <c r="C296" s="7"/>
      <c r="D296" s="7"/>
      <c r="E296" s="7"/>
      <c r="F296" s="6"/>
      <c r="G296" s="6"/>
      <c r="H296" s="6"/>
      <c r="I296" s="6"/>
      <c r="J296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296" s="21"/>
      <c r="L296" s="7"/>
      <c r="M296" s="41"/>
      <c r="N296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296" s="26" t="str">
        <f>IF(
   T_Channel[[#This Row],[ProviderName]]="",
   "",
   COUNTIF($N$12:$N$9982,T_Channel[[#This Row],[ProviderName]])
)</f>
        <v/>
      </c>
      <c r="P296" s="26" t="str">
        <f>IF(
   T_Channel[[#This Row],[Check]]&lt;&gt;"OK",
   "",
   IF(
      T_Channel[[#This Row],[Query]]="",
      "Empty",
      "Defined"
   )
)</f>
        <v/>
      </c>
      <c r="Q296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296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296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29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296" s="20" t="str">
        <f>IF(
   T_Channel[[#This Row],[Check]]&lt;&gt;"OK",
   "",
   T_Channel[[#This Row],[ChannelSymbol]] &amp; ".evtx"
)</f>
        <v/>
      </c>
      <c r="V296" s="20" t="str">
        <f>IF(
   T_Channel[[#This Row],[Check]]&lt;&gt;"OK",
   "",
   T_Channel[[#This Row],[LogFolder]] &amp; "\" &amp; T_Channel[[#This Row],[LogFile]]
)</f>
        <v/>
      </c>
      <c r="W296" s="20" t="str">
        <f>IF(
   T_Channel[[#This Row],[Safekeeping of logs]]="",
   "",
   VLOOKUP(T_Channel[[#This Row],[Safekeeping of logs]],T_List_LogMode[],2,FALSE)
)</f>
        <v/>
      </c>
      <c r="X296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297" spans="2:24" x14ac:dyDescent="0.45">
      <c r="B297" s="7"/>
      <c r="C297" s="7"/>
      <c r="D297" s="7"/>
      <c r="E297" s="7"/>
      <c r="F297" s="6"/>
      <c r="G297" s="6"/>
      <c r="H297" s="6"/>
      <c r="I297" s="6"/>
      <c r="J297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297" s="21"/>
      <c r="L297" s="7"/>
      <c r="M297" s="41"/>
      <c r="N297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297" s="26" t="str">
        <f>IF(
   T_Channel[[#This Row],[ProviderName]]="",
   "",
   COUNTIF($N$12:$N$9982,T_Channel[[#This Row],[ProviderName]])
)</f>
        <v/>
      </c>
      <c r="P297" s="26" t="str">
        <f>IF(
   T_Channel[[#This Row],[Check]]&lt;&gt;"OK",
   "",
   IF(
      T_Channel[[#This Row],[Query]]="",
      "Empty",
      "Defined"
   )
)</f>
        <v/>
      </c>
      <c r="Q297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297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297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29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297" s="20" t="str">
        <f>IF(
   T_Channel[[#This Row],[Check]]&lt;&gt;"OK",
   "",
   T_Channel[[#This Row],[ChannelSymbol]] &amp; ".evtx"
)</f>
        <v/>
      </c>
      <c r="V297" s="20" t="str">
        <f>IF(
   T_Channel[[#This Row],[Check]]&lt;&gt;"OK",
   "",
   T_Channel[[#This Row],[LogFolder]] &amp; "\" &amp; T_Channel[[#This Row],[LogFile]]
)</f>
        <v/>
      </c>
      <c r="W297" s="20" t="str">
        <f>IF(
   T_Channel[[#This Row],[Safekeeping of logs]]="",
   "",
   VLOOKUP(T_Channel[[#This Row],[Safekeeping of logs]],T_List_LogMode[],2,FALSE)
)</f>
        <v/>
      </c>
      <c r="X297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298" spans="2:24" x14ac:dyDescent="0.45">
      <c r="B298" s="7"/>
      <c r="C298" s="7"/>
      <c r="D298" s="7"/>
      <c r="E298" s="7"/>
      <c r="F298" s="6"/>
      <c r="G298" s="6"/>
      <c r="H298" s="6"/>
      <c r="I298" s="6"/>
      <c r="J298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298" s="21"/>
      <c r="L298" s="7"/>
      <c r="M298" s="41"/>
      <c r="N298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298" s="26" t="str">
        <f>IF(
   T_Channel[[#This Row],[ProviderName]]="",
   "",
   COUNTIF($N$12:$N$9982,T_Channel[[#This Row],[ProviderName]])
)</f>
        <v/>
      </c>
      <c r="P298" s="26" t="str">
        <f>IF(
   T_Channel[[#This Row],[Check]]&lt;&gt;"OK",
   "",
   IF(
      T_Channel[[#This Row],[Query]]="",
      "Empty",
      "Defined"
   )
)</f>
        <v/>
      </c>
      <c r="Q298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298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298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29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298" s="20" t="str">
        <f>IF(
   T_Channel[[#This Row],[Check]]&lt;&gt;"OK",
   "",
   T_Channel[[#This Row],[ChannelSymbol]] &amp; ".evtx"
)</f>
        <v/>
      </c>
      <c r="V298" s="20" t="str">
        <f>IF(
   T_Channel[[#This Row],[Check]]&lt;&gt;"OK",
   "",
   T_Channel[[#This Row],[LogFolder]] &amp; "\" &amp; T_Channel[[#This Row],[LogFile]]
)</f>
        <v/>
      </c>
      <c r="W298" s="20" t="str">
        <f>IF(
   T_Channel[[#This Row],[Safekeeping of logs]]="",
   "",
   VLOOKUP(T_Channel[[#This Row],[Safekeeping of logs]],T_List_LogMode[],2,FALSE)
)</f>
        <v/>
      </c>
      <c r="X298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299" spans="2:24" x14ac:dyDescent="0.45">
      <c r="B299" s="7"/>
      <c r="C299" s="7"/>
      <c r="D299" s="7"/>
      <c r="E299" s="7"/>
      <c r="F299" s="6"/>
      <c r="G299" s="6"/>
      <c r="H299" s="6"/>
      <c r="I299" s="6"/>
      <c r="J299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299" s="21"/>
      <c r="L299" s="7"/>
      <c r="M299" s="41"/>
      <c r="N299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299" s="26" t="str">
        <f>IF(
   T_Channel[[#This Row],[ProviderName]]="",
   "",
   COUNTIF($N$12:$N$9982,T_Channel[[#This Row],[ProviderName]])
)</f>
        <v/>
      </c>
      <c r="P299" s="26" t="str">
        <f>IF(
   T_Channel[[#This Row],[Check]]&lt;&gt;"OK",
   "",
   IF(
      T_Channel[[#This Row],[Query]]="",
      "Empty",
      "Defined"
   )
)</f>
        <v/>
      </c>
      <c r="Q299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299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299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29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299" s="20" t="str">
        <f>IF(
   T_Channel[[#This Row],[Check]]&lt;&gt;"OK",
   "",
   T_Channel[[#This Row],[ChannelSymbol]] &amp; ".evtx"
)</f>
        <v/>
      </c>
      <c r="V299" s="20" t="str">
        <f>IF(
   T_Channel[[#This Row],[Check]]&lt;&gt;"OK",
   "",
   T_Channel[[#This Row],[LogFolder]] &amp; "\" &amp; T_Channel[[#This Row],[LogFile]]
)</f>
        <v/>
      </c>
      <c r="W299" s="20" t="str">
        <f>IF(
   T_Channel[[#This Row],[Safekeeping of logs]]="",
   "",
   VLOOKUP(T_Channel[[#This Row],[Safekeeping of logs]],T_List_LogMode[],2,FALSE)
)</f>
        <v/>
      </c>
      <c r="X299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300" spans="2:24" x14ac:dyDescent="0.45">
      <c r="B300" s="7"/>
      <c r="C300" s="7"/>
      <c r="D300" s="7"/>
      <c r="E300" s="7"/>
      <c r="F300" s="6"/>
      <c r="G300" s="6"/>
      <c r="H300" s="6"/>
      <c r="I300" s="6"/>
      <c r="J300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300" s="21"/>
      <c r="L300" s="7"/>
      <c r="M300" s="41"/>
      <c r="N300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300" s="26" t="str">
        <f>IF(
   T_Channel[[#This Row],[ProviderName]]="",
   "",
   COUNTIF($N$12:$N$9982,T_Channel[[#This Row],[ProviderName]])
)</f>
        <v/>
      </c>
      <c r="P300" s="26" t="str">
        <f>IF(
   T_Channel[[#This Row],[Check]]&lt;&gt;"OK",
   "",
   IF(
      T_Channel[[#This Row],[Query]]="",
      "Empty",
      "Defined"
   )
)</f>
        <v/>
      </c>
      <c r="Q300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300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300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30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300" s="20" t="str">
        <f>IF(
   T_Channel[[#This Row],[Check]]&lt;&gt;"OK",
   "",
   T_Channel[[#This Row],[ChannelSymbol]] &amp; ".evtx"
)</f>
        <v/>
      </c>
      <c r="V300" s="20" t="str">
        <f>IF(
   T_Channel[[#This Row],[Check]]&lt;&gt;"OK",
   "",
   T_Channel[[#This Row],[LogFolder]] &amp; "\" &amp; T_Channel[[#This Row],[LogFile]]
)</f>
        <v/>
      </c>
      <c r="W300" s="20" t="str">
        <f>IF(
   T_Channel[[#This Row],[Safekeeping of logs]]="",
   "",
   VLOOKUP(T_Channel[[#This Row],[Safekeeping of logs]],T_List_LogMode[],2,FALSE)
)</f>
        <v/>
      </c>
      <c r="X300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301" spans="2:24" x14ac:dyDescent="0.45">
      <c r="B301" s="7"/>
      <c r="C301" s="7"/>
      <c r="D301" s="7"/>
      <c r="E301" s="7"/>
      <c r="F301" s="6"/>
      <c r="G301" s="6"/>
      <c r="H301" s="6"/>
      <c r="I301" s="6"/>
      <c r="J301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301" s="21"/>
      <c r="L301" s="7"/>
      <c r="M301" s="41"/>
      <c r="N301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301" s="26" t="str">
        <f>IF(
   T_Channel[[#This Row],[ProviderName]]="",
   "",
   COUNTIF($N$12:$N$9982,T_Channel[[#This Row],[ProviderName]])
)</f>
        <v/>
      </c>
      <c r="P301" s="26" t="str">
        <f>IF(
   T_Channel[[#This Row],[Check]]&lt;&gt;"OK",
   "",
   IF(
      T_Channel[[#This Row],[Query]]="",
      "Empty",
      "Defined"
   )
)</f>
        <v/>
      </c>
      <c r="Q301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301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301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30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301" s="20" t="str">
        <f>IF(
   T_Channel[[#This Row],[Check]]&lt;&gt;"OK",
   "",
   T_Channel[[#This Row],[ChannelSymbol]] &amp; ".evtx"
)</f>
        <v/>
      </c>
      <c r="V301" s="20" t="str">
        <f>IF(
   T_Channel[[#This Row],[Check]]&lt;&gt;"OK",
   "",
   T_Channel[[#This Row],[LogFolder]] &amp; "\" &amp; T_Channel[[#This Row],[LogFile]]
)</f>
        <v/>
      </c>
      <c r="W301" s="20" t="str">
        <f>IF(
   T_Channel[[#This Row],[Safekeeping of logs]]="",
   "",
   VLOOKUP(T_Channel[[#This Row],[Safekeeping of logs]],T_List_LogMode[],2,FALSE)
)</f>
        <v/>
      </c>
      <c r="X301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302" spans="2:24" x14ac:dyDescent="0.45">
      <c r="B302" s="7"/>
      <c r="C302" s="7"/>
      <c r="D302" s="7"/>
      <c r="E302" s="7"/>
      <c r="F302" s="6"/>
      <c r="G302" s="6"/>
      <c r="H302" s="6"/>
      <c r="I302" s="6"/>
      <c r="J302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302" s="21"/>
      <c r="L302" s="7"/>
      <c r="M302" s="41"/>
      <c r="N302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302" s="26" t="str">
        <f>IF(
   T_Channel[[#This Row],[ProviderName]]="",
   "",
   COUNTIF($N$12:$N$9982,T_Channel[[#This Row],[ProviderName]])
)</f>
        <v/>
      </c>
      <c r="P302" s="26" t="str">
        <f>IF(
   T_Channel[[#This Row],[Check]]&lt;&gt;"OK",
   "",
   IF(
      T_Channel[[#This Row],[Query]]="",
      "Empty",
      "Defined"
   )
)</f>
        <v/>
      </c>
      <c r="Q302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302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302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30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302" s="20" t="str">
        <f>IF(
   T_Channel[[#This Row],[Check]]&lt;&gt;"OK",
   "",
   T_Channel[[#This Row],[ChannelSymbol]] &amp; ".evtx"
)</f>
        <v/>
      </c>
      <c r="V302" s="20" t="str">
        <f>IF(
   T_Channel[[#This Row],[Check]]&lt;&gt;"OK",
   "",
   T_Channel[[#This Row],[LogFolder]] &amp; "\" &amp; T_Channel[[#This Row],[LogFile]]
)</f>
        <v/>
      </c>
      <c r="W302" s="20" t="str">
        <f>IF(
   T_Channel[[#This Row],[Safekeeping of logs]]="",
   "",
   VLOOKUP(T_Channel[[#This Row],[Safekeeping of logs]],T_List_LogMode[],2,FALSE)
)</f>
        <v/>
      </c>
      <c r="X302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303" spans="2:24" x14ac:dyDescent="0.45">
      <c r="B303" s="7"/>
      <c r="C303" s="7"/>
      <c r="D303" s="7"/>
      <c r="E303" s="7"/>
      <c r="F303" s="6"/>
      <c r="G303" s="6"/>
      <c r="H303" s="6"/>
      <c r="I303" s="6"/>
      <c r="J303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303" s="21"/>
      <c r="L303" s="7"/>
      <c r="M303" s="41"/>
      <c r="N303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303" s="26" t="str">
        <f>IF(
   T_Channel[[#This Row],[ProviderName]]="",
   "",
   COUNTIF($N$12:$N$9982,T_Channel[[#This Row],[ProviderName]])
)</f>
        <v/>
      </c>
      <c r="P303" s="26" t="str">
        <f>IF(
   T_Channel[[#This Row],[Check]]&lt;&gt;"OK",
   "",
   IF(
      T_Channel[[#This Row],[Query]]="",
      "Empty",
      "Defined"
   )
)</f>
        <v/>
      </c>
      <c r="Q303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303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303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30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303" s="20" t="str">
        <f>IF(
   T_Channel[[#This Row],[Check]]&lt;&gt;"OK",
   "",
   T_Channel[[#This Row],[ChannelSymbol]] &amp; ".evtx"
)</f>
        <v/>
      </c>
      <c r="V303" s="20" t="str">
        <f>IF(
   T_Channel[[#This Row],[Check]]&lt;&gt;"OK",
   "",
   T_Channel[[#This Row],[LogFolder]] &amp; "\" &amp; T_Channel[[#This Row],[LogFile]]
)</f>
        <v/>
      </c>
      <c r="W303" s="20" t="str">
        <f>IF(
   T_Channel[[#This Row],[Safekeeping of logs]]="",
   "",
   VLOOKUP(T_Channel[[#This Row],[Safekeeping of logs]],T_List_LogMode[],2,FALSE)
)</f>
        <v/>
      </c>
      <c r="X303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304" spans="2:24" x14ac:dyDescent="0.45">
      <c r="B304" s="7"/>
      <c r="C304" s="7"/>
      <c r="D304" s="7"/>
      <c r="E304" s="7"/>
      <c r="F304" s="6"/>
      <c r="G304" s="6"/>
      <c r="H304" s="6"/>
      <c r="I304" s="6"/>
      <c r="J304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304" s="21"/>
      <c r="L304" s="7"/>
      <c r="M304" s="41"/>
      <c r="N304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304" s="26" t="str">
        <f>IF(
   T_Channel[[#This Row],[ProviderName]]="",
   "",
   COUNTIF($N$12:$N$9982,T_Channel[[#This Row],[ProviderName]])
)</f>
        <v/>
      </c>
      <c r="P304" s="26" t="str">
        <f>IF(
   T_Channel[[#This Row],[Check]]&lt;&gt;"OK",
   "",
   IF(
      T_Channel[[#This Row],[Query]]="",
      "Empty",
      "Defined"
   )
)</f>
        <v/>
      </c>
      <c r="Q304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304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304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30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304" s="20" t="str">
        <f>IF(
   T_Channel[[#This Row],[Check]]&lt;&gt;"OK",
   "",
   T_Channel[[#This Row],[ChannelSymbol]] &amp; ".evtx"
)</f>
        <v/>
      </c>
      <c r="V304" s="20" t="str">
        <f>IF(
   T_Channel[[#This Row],[Check]]&lt;&gt;"OK",
   "",
   T_Channel[[#This Row],[LogFolder]] &amp; "\" &amp; T_Channel[[#This Row],[LogFile]]
)</f>
        <v/>
      </c>
      <c r="W304" s="20" t="str">
        <f>IF(
   T_Channel[[#This Row],[Safekeeping of logs]]="",
   "",
   VLOOKUP(T_Channel[[#This Row],[Safekeeping of logs]],T_List_LogMode[],2,FALSE)
)</f>
        <v/>
      </c>
      <c r="X304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305" spans="2:24" x14ac:dyDescent="0.45">
      <c r="B305" s="7"/>
      <c r="C305" s="7"/>
      <c r="D305" s="7"/>
      <c r="E305" s="7"/>
      <c r="F305" s="6"/>
      <c r="G305" s="6"/>
      <c r="H305" s="6"/>
      <c r="I305" s="6"/>
      <c r="J305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305" s="21"/>
      <c r="L305" s="7"/>
      <c r="M305" s="41"/>
      <c r="N305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305" s="26" t="str">
        <f>IF(
   T_Channel[[#This Row],[ProviderName]]="",
   "",
   COUNTIF($N$12:$N$9982,T_Channel[[#This Row],[ProviderName]])
)</f>
        <v/>
      </c>
      <c r="P305" s="26" t="str">
        <f>IF(
   T_Channel[[#This Row],[Check]]&lt;&gt;"OK",
   "",
   IF(
      T_Channel[[#This Row],[Query]]="",
      "Empty",
      "Defined"
   )
)</f>
        <v/>
      </c>
      <c r="Q305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305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305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30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305" s="20" t="str">
        <f>IF(
   T_Channel[[#This Row],[Check]]&lt;&gt;"OK",
   "",
   T_Channel[[#This Row],[ChannelSymbol]] &amp; ".evtx"
)</f>
        <v/>
      </c>
      <c r="V305" s="20" t="str">
        <f>IF(
   T_Channel[[#This Row],[Check]]&lt;&gt;"OK",
   "",
   T_Channel[[#This Row],[LogFolder]] &amp; "\" &amp; T_Channel[[#This Row],[LogFile]]
)</f>
        <v/>
      </c>
      <c r="W305" s="20" t="str">
        <f>IF(
   T_Channel[[#This Row],[Safekeeping of logs]]="",
   "",
   VLOOKUP(T_Channel[[#This Row],[Safekeeping of logs]],T_List_LogMode[],2,FALSE)
)</f>
        <v/>
      </c>
      <c r="X305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306" spans="2:24" x14ac:dyDescent="0.45">
      <c r="B306" s="7"/>
      <c r="C306" s="7"/>
      <c r="D306" s="7"/>
      <c r="E306" s="7"/>
      <c r="F306" s="6"/>
      <c r="G306" s="6"/>
      <c r="H306" s="6"/>
      <c r="I306" s="6"/>
      <c r="J306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306" s="21"/>
      <c r="L306" s="7"/>
      <c r="M306" s="41"/>
      <c r="N306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306" s="26" t="str">
        <f>IF(
   T_Channel[[#This Row],[ProviderName]]="",
   "",
   COUNTIF($N$12:$N$9982,T_Channel[[#This Row],[ProviderName]])
)</f>
        <v/>
      </c>
      <c r="P306" s="26" t="str">
        <f>IF(
   T_Channel[[#This Row],[Check]]&lt;&gt;"OK",
   "",
   IF(
      T_Channel[[#This Row],[Query]]="",
      "Empty",
      "Defined"
   )
)</f>
        <v/>
      </c>
      <c r="Q306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306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306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30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306" s="20" t="str">
        <f>IF(
   T_Channel[[#This Row],[Check]]&lt;&gt;"OK",
   "",
   T_Channel[[#This Row],[ChannelSymbol]] &amp; ".evtx"
)</f>
        <v/>
      </c>
      <c r="V306" s="20" t="str">
        <f>IF(
   T_Channel[[#This Row],[Check]]&lt;&gt;"OK",
   "",
   T_Channel[[#This Row],[LogFolder]] &amp; "\" &amp; T_Channel[[#This Row],[LogFile]]
)</f>
        <v/>
      </c>
      <c r="W306" s="20" t="str">
        <f>IF(
   T_Channel[[#This Row],[Safekeeping of logs]]="",
   "",
   VLOOKUP(T_Channel[[#This Row],[Safekeeping of logs]],T_List_LogMode[],2,FALSE)
)</f>
        <v/>
      </c>
      <c r="X306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307" spans="2:24" x14ac:dyDescent="0.45">
      <c r="B307" s="7"/>
      <c r="C307" s="7"/>
      <c r="D307" s="7"/>
      <c r="E307" s="7"/>
      <c r="F307" s="6"/>
      <c r="G307" s="6"/>
      <c r="H307" s="6"/>
      <c r="I307" s="6"/>
      <c r="J307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307" s="21"/>
      <c r="L307" s="7"/>
      <c r="M307" s="41"/>
      <c r="N307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307" s="26" t="str">
        <f>IF(
   T_Channel[[#This Row],[ProviderName]]="",
   "",
   COUNTIF($N$12:$N$9982,T_Channel[[#This Row],[ProviderName]])
)</f>
        <v/>
      </c>
      <c r="P307" s="26" t="str">
        <f>IF(
   T_Channel[[#This Row],[Check]]&lt;&gt;"OK",
   "",
   IF(
      T_Channel[[#This Row],[Query]]="",
      "Empty",
      "Defined"
   )
)</f>
        <v/>
      </c>
      <c r="Q307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307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307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30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307" s="20" t="str">
        <f>IF(
   T_Channel[[#This Row],[Check]]&lt;&gt;"OK",
   "",
   T_Channel[[#This Row],[ChannelSymbol]] &amp; ".evtx"
)</f>
        <v/>
      </c>
      <c r="V307" s="20" t="str">
        <f>IF(
   T_Channel[[#This Row],[Check]]&lt;&gt;"OK",
   "",
   T_Channel[[#This Row],[LogFolder]] &amp; "\" &amp; T_Channel[[#This Row],[LogFile]]
)</f>
        <v/>
      </c>
      <c r="W307" s="20" t="str">
        <f>IF(
   T_Channel[[#This Row],[Safekeeping of logs]]="",
   "",
   VLOOKUP(T_Channel[[#This Row],[Safekeeping of logs]],T_List_LogMode[],2,FALSE)
)</f>
        <v/>
      </c>
      <c r="X307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308" spans="2:24" x14ac:dyDescent="0.45">
      <c r="B308" s="7"/>
      <c r="C308" s="7"/>
      <c r="D308" s="7"/>
      <c r="E308" s="7"/>
      <c r="F308" s="6"/>
      <c r="G308" s="6"/>
      <c r="H308" s="6"/>
      <c r="I308" s="6"/>
      <c r="J308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308" s="21"/>
      <c r="L308" s="7"/>
      <c r="M308" s="41"/>
      <c r="N308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308" s="26" t="str">
        <f>IF(
   T_Channel[[#This Row],[ProviderName]]="",
   "",
   COUNTIF($N$12:$N$9982,T_Channel[[#This Row],[ProviderName]])
)</f>
        <v/>
      </c>
      <c r="P308" s="26" t="str">
        <f>IF(
   T_Channel[[#This Row],[Check]]&lt;&gt;"OK",
   "",
   IF(
      T_Channel[[#This Row],[Query]]="",
      "Empty",
      "Defined"
   )
)</f>
        <v/>
      </c>
      <c r="Q308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308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308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30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308" s="20" t="str">
        <f>IF(
   T_Channel[[#This Row],[Check]]&lt;&gt;"OK",
   "",
   T_Channel[[#This Row],[ChannelSymbol]] &amp; ".evtx"
)</f>
        <v/>
      </c>
      <c r="V308" s="20" t="str">
        <f>IF(
   T_Channel[[#This Row],[Check]]&lt;&gt;"OK",
   "",
   T_Channel[[#This Row],[LogFolder]] &amp; "\" &amp; T_Channel[[#This Row],[LogFile]]
)</f>
        <v/>
      </c>
      <c r="W308" s="20" t="str">
        <f>IF(
   T_Channel[[#This Row],[Safekeeping of logs]]="",
   "",
   VLOOKUP(T_Channel[[#This Row],[Safekeeping of logs]],T_List_LogMode[],2,FALSE)
)</f>
        <v/>
      </c>
      <c r="X308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309" spans="2:24" x14ac:dyDescent="0.45">
      <c r="B309" s="7"/>
      <c r="C309" s="7"/>
      <c r="D309" s="7"/>
      <c r="E309" s="7"/>
      <c r="F309" s="6"/>
      <c r="G309" s="6"/>
      <c r="H309" s="6"/>
      <c r="I309" s="6"/>
      <c r="J309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309" s="21"/>
      <c r="L309" s="7"/>
      <c r="M309" s="41"/>
      <c r="N309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309" s="26" t="str">
        <f>IF(
   T_Channel[[#This Row],[ProviderName]]="",
   "",
   COUNTIF($N$12:$N$9982,T_Channel[[#This Row],[ProviderName]])
)</f>
        <v/>
      </c>
      <c r="P309" s="26" t="str">
        <f>IF(
   T_Channel[[#This Row],[Check]]&lt;&gt;"OK",
   "",
   IF(
      T_Channel[[#This Row],[Query]]="",
      "Empty",
      "Defined"
   )
)</f>
        <v/>
      </c>
      <c r="Q309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309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309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30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309" s="20" t="str">
        <f>IF(
   T_Channel[[#This Row],[Check]]&lt;&gt;"OK",
   "",
   T_Channel[[#This Row],[ChannelSymbol]] &amp; ".evtx"
)</f>
        <v/>
      </c>
      <c r="V309" s="20" t="str">
        <f>IF(
   T_Channel[[#This Row],[Check]]&lt;&gt;"OK",
   "",
   T_Channel[[#This Row],[LogFolder]] &amp; "\" &amp; T_Channel[[#This Row],[LogFile]]
)</f>
        <v/>
      </c>
      <c r="W309" s="20" t="str">
        <f>IF(
   T_Channel[[#This Row],[Safekeeping of logs]]="",
   "",
   VLOOKUP(T_Channel[[#This Row],[Safekeeping of logs]],T_List_LogMode[],2,FALSE)
)</f>
        <v/>
      </c>
      <c r="X309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310" spans="2:24" x14ac:dyDescent="0.45">
      <c r="B310" s="7"/>
      <c r="C310" s="7"/>
      <c r="D310" s="7"/>
      <c r="E310" s="7"/>
      <c r="F310" s="6"/>
      <c r="G310" s="6"/>
      <c r="H310" s="6"/>
      <c r="I310" s="6"/>
      <c r="J310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310" s="21"/>
      <c r="L310" s="7"/>
      <c r="M310" s="41"/>
      <c r="N310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310" s="26" t="str">
        <f>IF(
   T_Channel[[#This Row],[ProviderName]]="",
   "",
   COUNTIF($N$12:$N$9982,T_Channel[[#This Row],[ProviderName]])
)</f>
        <v/>
      </c>
      <c r="P310" s="26" t="str">
        <f>IF(
   T_Channel[[#This Row],[Check]]&lt;&gt;"OK",
   "",
   IF(
      T_Channel[[#This Row],[Query]]="",
      "Empty",
      "Defined"
   )
)</f>
        <v/>
      </c>
      <c r="Q310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310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310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31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310" s="20" t="str">
        <f>IF(
   T_Channel[[#This Row],[Check]]&lt;&gt;"OK",
   "",
   T_Channel[[#This Row],[ChannelSymbol]] &amp; ".evtx"
)</f>
        <v/>
      </c>
      <c r="V310" s="20" t="str">
        <f>IF(
   T_Channel[[#This Row],[Check]]&lt;&gt;"OK",
   "",
   T_Channel[[#This Row],[LogFolder]] &amp; "\" &amp; T_Channel[[#This Row],[LogFile]]
)</f>
        <v/>
      </c>
      <c r="W310" s="20" t="str">
        <f>IF(
   T_Channel[[#This Row],[Safekeeping of logs]]="",
   "",
   VLOOKUP(T_Channel[[#This Row],[Safekeeping of logs]],T_List_LogMode[],2,FALSE)
)</f>
        <v/>
      </c>
      <c r="X310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311" spans="2:24" x14ac:dyDescent="0.45">
      <c r="B311" s="7"/>
      <c r="C311" s="7"/>
      <c r="D311" s="7"/>
      <c r="E311" s="7"/>
      <c r="F311" s="6"/>
      <c r="G311" s="6"/>
      <c r="H311" s="6"/>
      <c r="I311" s="6"/>
      <c r="J311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311" s="21"/>
      <c r="L311" s="7"/>
      <c r="M311" s="41"/>
      <c r="N311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311" s="26" t="str">
        <f>IF(
   T_Channel[[#This Row],[ProviderName]]="",
   "",
   COUNTIF($N$12:$N$9982,T_Channel[[#This Row],[ProviderName]])
)</f>
        <v/>
      </c>
      <c r="P311" s="26" t="str">
        <f>IF(
   T_Channel[[#This Row],[Check]]&lt;&gt;"OK",
   "",
   IF(
      T_Channel[[#This Row],[Query]]="",
      "Empty",
      "Defined"
   )
)</f>
        <v/>
      </c>
      <c r="Q311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311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311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31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311" s="20" t="str">
        <f>IF(
   T_Channel[[#This Row],[Check]]&lt;&gt;"OK",
   "",
   T_Channel[[#This Row],[ChannelSymbol]] &amp; ".evtx"
)</f>
        <v/>
      </c>
      <c r="V311" s="20" t="str">
        <f>IF(
   T_Channel[[#This Row],[Check]]&lt;&gt;"OK",
   "",
   T_Channel[[#This Row],[LogFolder]] &amp; "\" &amp; T_Channel[[#This Row],[LogFile]]
)</f>
        <v/>
      </c>
      <c r="W311" s="20" t="str">
        <f>IF(
   T_Channel[[#This Row],[Safekeeping of logs]]="",
   "",
   VLOOKUP(T_Channel[[#This Row],[Safekeeping of logs]],T_List_LogMode[],2,FALSE)
)</f>
        <v/>
      </c>
      <c r="X311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312" spans="2:24" x14ac:dyDescent="0.45">
      <c r="B312" s="7"/>
      <c r="C312" s="7"/>
      <c r="D312" s="7"/>
      <c r="E312" s="7"/>
      <c r="F312" s="6"/>
      <c r="G312" s="6"/>
      <c r="H312" s="6"/>
      <c r="I312" s="6"/>
      <c r="J312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312" s="21"/>
      <c r="L312" s="7"/>
      <c r="M312" s="41"/>
      <c r="N312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312" s="26" t="str">
        <f>IF(
   T_Channel[[#This Row],[ProviderName]]="",
   "",
   COUNTIF($N$12:$N$9982,T_Channel[[#This Row],[ProviderName]])
)</f>
        <v/>
      </c>
      <c r="P312" s="26" t="str">
        <f>IF(
   T_Channel[[#This Row],[Check]]&lt;&gt;"OK",
   "",
   IF(
      T_Channel[[#This Row],[Query]]="",
      "Empty",
      "Defined"
   )
)</f>
        <v/>
      </c>
      <c r="Q312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312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312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31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312" s="20" t="str">
        <f>IF(
   T_Channel[[#This Row],[Check]]&lt;&gt;"OK",
   "",
   T_Channel[[#This Row],[ChannelSymbol]] &amp; ".evtx"
)</f>
        <v/>
      </c>
      <c r="V312" s="20" t="str">
        <f>IF(
   T_Channel[[#This Row],[Check]]&lt;&gt;"OK",
   "",
   T_Channel[[#This Row],[LogFolder]] &amp; "\" &amp; T_Channel[[#This Row],[LogFile]]
)</f>
        <v/>
      </c>
      <c r="W312" s="20" t="str">
        <f>IF(
   T_Channel[[#This Row],[Safekeeping of logs]]="",
   "",
   VLOOKUP(T_Channel[[#This Row],[Safekeeping of logs]],T_List_LogMode[],2,FALSE)
)</f>
        <v/>
      </c>
      <c r="X312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313" spans="2:24" x14ac:dyDescent="0.45">
      <c r="B313" s="7"/>
      <c r="C313" s="7"/>
      <c r="D313" s="7"/>
      <c r="E313" s="7"/>
      <c r="F313" s="6"/>
      <c r="G313" s="6"/>
      <c r="H313" s="6"/>
      <c r="I313" s="6"/>
      <c r="J313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313" s="21"/>
      <c r="L313" s="7"/>
      <c r="M313" s="41"/>
      <c r="N313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313" s="26" t="str">
        <f>IF(
   T_Channel[[#This Row],[ProviderName]]="",
   "",
   COUNTIF($N$12:$N$9982,T_Channel[[#This Row],[ProviderName]])
)</f>
        <v/>
      </c>
      <c r="P313" s="26" t="str">
        <f>IF(
   T_Channel[[#This Row],[Check]]&lt;&gt;"OK",
   "",
   IF(
      T_Channel[[#This Row],[Query]]="",
      "Empty",
      "Defined"
   )
)</f>
        <v/>
      </c>
      <c r="Q313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313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313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31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313" s="20" t="str">
        <f>IF(
   T_Channel[[#This Row],[Check]]&lt;&gt;"OK",
   "",
   T_Channel[[#This Row],[ChannelSymbol]] &amp; ".evtx"
)</f>
        <v/>
      </c>
      <c r="V313" s="20" t="str">
        <f>IF(
   T_Channel[[#This Row],[Check]]&lt;&gt;"OK",
   "",
   T_Channel[[#This Row],[LogFolder]] &amp; "\" &amp; T_Channel[[#This Row],[LogFile]]
)</f>
        <v/>
      </c>
      <c r="W313" s="20" t="str">
        <f>IF(
   T_Channel[[#This Row],[Safekeeping of logs]]="",
   "",
   VLOOKUP(T_Channel[[#This Row],[Safekeeping of logs]],T_List_LogMode[],2,FALSE)
)</f>
        <v/>
      </c>
      <c r="X313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314" spans="2:24" x14ac:dyDescent="0.45">
      <c r="B314" s="7"/>
      <c r="C314" s="7"/>
      <c r="D314" s="7"/>
      <c r="E314" s="7"/>
      <c r="F314" s="6"/>
      <c r="G314" s="6"/>
      <c r="H314" s="6"/>
      <c r="I314" s="6"/>
      <c r="J314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314" s="21"/>
      <c r="L314" s="7"/>
      <c r="M314" s="41"/>
      <c r="N314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314" s="26" t="str">
        <f>IF(
   T_Channel[[#This Row],[ProviderName]]="",
   "",
   COUNTIF($N$12:$N$9982,T_Channel[[#This Row],[ProviderName]])
)</f>
        <v/>
      </c>
      <c r="P314" s="26" t="str">
        <f>IF(
   T_Channel[[#This Row],[Check]]&lt;&gt;"OK",
   "",
   IF(
      T_Channel[[#This Row],[Query]]="",
      "Empty",
      "Defined"
   )
)</f>
        <v/>
      </c>
      <c r="Q314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314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314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31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314" s="20" t="str">
        <f>IF(
   T_Channel[[#This Row],[Check]]&lt;&gt;"OK",
   "",
   T_Channel[[#This Row],[ChannelSymbol]] &amp; ".evtx"
)</f>
        <v/>
      </c>
      <c r="V314" s="20" t="str">
        <f>IF(
   T_Channel[[#This Row],[Check]]&lt;&gt;"OK",
   "",
   T_Channel[[#This Row],[LogFolder]] &amp; "\" &amp; T_Channel[[#This Row],[LogFile]]
)</f>
        <v/>
      </c>
      <c r="W314" s="20" t="str">
        <f>IF(
   T_Channel[[#This Row],[Safekeeping of logs]]="",
   "",
   VLOOKUP(T_Channel[[#This Row],[Safekeeping of logs]],T_List_LogMode[],2,FALSE)
)</f>
        <v/>
      </c>
      <c r="X314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315" spans="2:24" x14ac:dyDescent="0.45">
      <c r="B315" s="7"/>
      <c r="C315" s="7"/>
      <c r="D315" s="7"/>
      <c r="E315" s="7"/>
      <c r="F315" s="6"/>
      <c r="G315" s="6"/>
      <c r="H315" s="6"/>
      <c r="I315" s="6"/>
      <c r="J315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315" s="21"/>
      <c r="L315" s="7"/>
      <c r="M315" s="41"/>
      <c r="N315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315" s="26" t="str">
        <f>IF(
   T_Channel[[#This Row],[ProviderName]]="",
   "",
   COUNTIF($N$12:$N$9982,T_Channel[[#This Row],[ProviderName]])
)</f>
        <v/>
      </c>
      <c r="P315" s="26" t="str">
        <f>IF(
   T_Channel[[#This Row],[Check]]&lt;&gt;"OK",
   "",
   IF(
      T_Channel[[#This Row],[Query]]="",
      "Empty",
      "Defined"
   )
)</f>
        <v/>
      </c>
      <c r="Q315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315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315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31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315" s="20" t="str">
        <f>IF(
   T_Channel[[#This Row],[Check]]&lt;&gt;"OK",
   "",
   T_Channel[[#This Row],[ChannelSymbol]] &amp; ".evtx"
)</f>
        <v/>
      </c>
      <c r="V315" s="20" t="str">
        <f>IF(
   T_Channel[[#This Row],[Check]]&lt;&gt;"OK",
   "",
   T_Channel[[#This Row],[LogFolder]] &amp; "\" &amp; T_Channel[[#This Row],[LogFile]]
)</f>
        <v/>
      </c>
      <c r="W315" s="20" t="str">
        <f>IF(
   T_Channel[[#This Row],[Safekeeping of logs]]="",
   "",
   VLOOKUP(T_Channel[[#This Row],[Safekeeping of logs]],T_List_LogMode[],2,FALSE)
)</f>
        <v/>
      </c>
      <c r="X315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316" spans="2:24" x14ac:dyDescent="0.45">
      <c r="B316" s="7"/>
      <c r="C316" s="7"/>
      <c r="D316" s="7"/>
      <c r="E316" s="7"/>
      <c r="F316" s="6"/>
      <c r="G316" s="6"/>
      <c r="H316" s="6"/>
      <c r="I316" s="6"/>
      <c r="J316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316" s="21"/>
      <c r="L316" s="7"/>
      <c r="M316" s="41"/>
      <c r="N316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316" s="26" t="str">
        <f>IF(
   T_Channel[[#This Row],[ProviderName]]="",
   "",
   COUNTIF($N$12:$N$9982,T_Channel[[#This Row],[ProviderName]])
)</f>
        <v/>
      </c>
      <c r="P316" s="26" t="str">
        <f>IF(
   T_Channel[[#This Row],[Check]]&lt;&gt;"OK",
   "",
   IF(
      T_Channel[[#This Row],[Query]]="",
      "Empty",
      "Defined"
   )
)</f>
        <v/>
      </c>
      <c r="Q316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316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316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31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316" s="20" t="str">
        <f>IF(
   T_Channel[[#This Row],[Check]]&lt;&gt;"OK",
   "",
   T_Channel[[#This Row],[ChannelSymbol]] &amp; ".evtx"
)</f>
        <v/>
      </c>
      <c r="V316" s="20" t="str">
        <f>IF(
   T_Channel[[#This Row],[Check]]&lt;&gt;"OK",
   "",
   T_Channel[[#This Row],[LogFolder]] &amp; "\" &amp; T_Channel[[#This Row],[LogFile]]
)</f>
        <v/>
      </c>
      <c r="W316" s="20" t="str">
        <f>IF(
   T_Channel[[#This Row],[Safekeeping of logs]]="",
   "",
   VLOOKUP(T_Channel[[#This Row],[Safekeeping of logs]],T_List_LogMode[],2,FALSE)
)</f>
        <v/>
      </c>
      <c r="X316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317" spans="2:24" x14ac:dyDescent="0.45">
      <c r="B317" s="7"/>
      <c r="C317" s="7"/>
      <c r="D317" s="7"/>
      <c r="E317" s="7"/>
      <c r="F317" s="6"/>
      <c r="G317" s="6"/>
      <c r="H317" s="6"/>
      <c r="I317" s="6"/>
      <c r="J317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317" s="21"/>
      <c r="L317" s="7"/>
      <c r="M317" s="41"/>
      <c r="N317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317" s="26" t="str">
        <f>IF(
   T_Channel[[#This Row],[ProviderName]]="",
   "",
   COUNTIF($N$12:$N$9982,T_Channel[[#This Row],[ProviderName]])
)</f>
        <v/>
      </c>
      <c r="P317" s="26" t="str">
        <f>IF(
   T_Channel[[#This Row],[Check]]&lt;&gt;"OK",
   "",
   IF(
      T_Channel[[#This Row],[Query]]="",
      "Empty",
      "Defined"
   )
)</f>
        <v/>
      </c>
      <c r="Q317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317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317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31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317" s="20" t="str">
        <f>IF(
   T_Channel[[#This Row],[Check]]&lt;&gt;"OK",
   "",
   T_Channel[[#This Row],[ChannelSymbol]] &amp; ".evtx"
)</f>
        <v/>
      </c>
      <c r="V317" s="20" t="str">
        <f>IF(
   T_Channel[[#This Row],[Check]]&lt;&gt;"OK",
   "",
   T_Channel[[#This Row],[LogFolder]] &amp; "\" &amp; T_Channel[[#This Row],[LogFile]]
)</f>
        <v/>
      </c>
      <c r="W317" s="20" t="str">
        <f>IF(
   T_Channel[[#This Row],[Safekeeping of logs]]="",
   "",
   VLOOKUP(T_Channel[[#This Row],[Safekeeping of logs]],T_List_LogMode[],2,FALSE)
)</f>
        <v/>
      </c>
      <c r="X317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318" spans="2:24" x14ac:dyDescent="0.45">
      <c r="B318" s="7"/>
      <c r="C318" s="7"/>
      <c r="D318" s="7"/>
      <c r="E318" s="7"/>
      <c r="F318" s="6"/>
      <c r="G318" s="6"/>
      <c r="H318" s="6"/>
      <c r="I318" s="6"/>
      <c r="J318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318" s="21"/>
      <c r="L318" s="7"/>
      <c r="M318" s="41"/>
      <c r="N318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318" s="26" t="str">
        <f>IF(
   T_Channel[[#This Row],[ProviderName]]="",
   "",
   COUNTIF($N$12:$N$9982,T_Channel[[#This Row],[ProviderName]])
)</f>
        <v/>
      </c>
      <c r="P318" s="26" t="str">
        <f>IF(
   T_Channel[[#This Row],[Check]]&lt;&gt;"OK",
   "",
   IF(
      T_Channel[[#This Row],[Query]]="",
      "Empty",
      "Defined"
   )
)</f>
        <v/>
      </c>
      <c r="Q318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318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318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31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318" s="20" t="str">
        <f>IF(
   T_Channel[[#This Row],[Check]]&lt;&gt;"OK",
   "",
   T_Channel[[#This Row],[ChannelSymbol]] &amp; ".evtx"
)</f>
        <v/>
      </c>
      <c r="V318" s="20" t="str">
        <f>IF(
   T_Channel[[#This Row],[Check]]&lt;&gt;"OK",
   "",
   T_Channel[[#This Row],[LogFolder]] &amp; "\" &amp; T_Channel[[#This Row],[LogFile]]
)</f>
        <v/>
      </c>
      <c r="W318" s="20" t="str">
        <f>IF(
   T_Channel[[#This Row],[Safekeeping of logs]]="",
   "",
   VLOOKUP(T_Channel[[#This Row],[Safekeeping of logs]],T_List_LogMode[],2,FALSE)
)</f>
        <v/>
      </c>
      <c r="X318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319" spans="2:24" x14ac:dyDescent="0.45">
      <c r="B319" s="7"/>
      <c r="C319" s="7"/>
      <c r="D319" s="7"/>
      <c r="E319" s="7"/>
      <c r="F319" s="6"/>
      <c r="G319" s="6"/>
      <c r="H319" s="6"/>
      <c r="I319" s="6"/>
      <c r="J319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319" s="21"/>
      <c r="L319" s="7"/>
      <c r="M319" s="41"/>
      <c r="N319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319" s="26" t="str">
        <f>IF(
   T_Channel[[#This Row],[ProviderName]]="",
   "",
   COUNTIF($N$12:$N$9982,T_Channel[[#This Row],[ProviderName]])
)</f>
        <v/>
      </c>
      <c r="P319" s="26" t="str">
        <f>IF(
   T_Channel[[#This Row],[Check]]&lt;&gt;"OK",
   "",
   IF(
      T_Channel[[#This Row],[Query]]="",
      "Empty",
      "Defined"
   )
)</f>
        <v/>
      </c>
      <c r="Q319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319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319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31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319" s="20" t="str">
        <f>IF(
   T_Channel[[#This Row],[Check]]&lt;&gt;"OK",
   "",
   T_Channel[[#This Row],[ChannelSymbol]] &amp; ".evtx"
)</f>
        <v/>
      </c>
      <c r="V319" s="20" t="str">
        <f>IF(
   T_Channel[[#This Row],[Check]]&lt;&gt;"OK",
   "",
   T_Channel[[#This Row],[LogFolder]] &amp; "\" &amp; T_Channel[[#This Row],[LogFile]]
)</f>
        <v/>
      </c>
      <c r="W319" s="20" t="str">
        <f>IF(
   T_Channel[[#This Row],[Safekeeping of logs]]="",
   "",
   VLOOKUP(T_Channel[[#This Row],[Safekeeping of logs]],T_List_LogMode[],2,FALSE)
)</f>
        <v/>
      </c>
      <c r="X319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320" spans="2:24" x14ac:dyDescent="0.45">
      <c r="B320" s="7"/>
      <c r="C320" s="7"/>
      <c r="D320" s="7"/>
      <c r="E320" s="7"/>
      <c r="F320" s="6"/>
      <c r="G320" s="6"/>
      <c r="H320" s="6"/>
      <c r="I320" s="6"/>
      <c r="J320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320" s="21"/>
      <c r="L320" s="7"/>
      <c r="M320" s="41"/>
      <c r="N320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320" s="26" t="str">
        <f>IF(
   T_Channel[[#This Row],[ProviderName]]="",
   "",
   COUNTIF($N$12:$N$9982,T_Channel[[#This Row],[ProviderName]])
)</f>
        <v/>
      </c>
      <c r="P320" s="26" t="str">
        <f>IF(
   T_Channel[[#This Row],[Check]]&lt;&gt;"OK",
   "",
   IF(
      T_Channel[[#This Row],[Query]]="",
      "Empty",
      "Defined"
   )
)</f>
        <v/>
      </c>
      <c r="Q320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320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320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32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320" s="20" t="str">
        <f>IF(
   T_Channel[[#This Row],[Check]]&lt;&gt;"OK",
   "",
   T_Channel[[#This Row],[ChannelSymbol]] &amp; ".evtx"
)</f>
        <v/>
      </c>
      <c r="V320" s="20" t="str">
        <f>IF(
   T_Channel[[#This Row],[Check]]&lt;&gt;"OK",
   "",
   T_Channel[[#This Row],[LogFolder]] &amp; "\" &amp; T_Channel[[#This Row],[LogFile]]
)</f>
        <v/>
      </c>
      <c r="W320" s="20" t="str">
        <f>IF(
   T_Channel[[#This Row],[Safekeeping of logs]]="",
   "",
   VLOOKUP(T_Channel[[#This Row],[Safekeeping of logs]],T_List_LogMode[],2,FALSE)
)</f>
        <v/>
      </c>
      <c r="X320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321" spans="2:24" x14ac:dyDescent="0.45">
      <c r="B321" s="7"/>
      <c r="C321" s="7"/>
      <c r="D321" s="7"/>
      <c r="E321" s="7"/>
      <c r="F321" s="6"/>
      <c r="G321" s="6"/>
      <c r="H321" s="6"/>
      <c r="I321" s="6"/>
      <c r="J321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321" s="21"/>
      <c r="L321" s="7"/>
      <c r="M321" s="41"/>
      <c r="N321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321" s="26" t="str">
        <f>IF(
   T_Channel[[#This Row],[ProviderName]]="",
   "",
   COUNTIF($N$12:$N$9982,T_Channel[[#This Row],[ProviderName]])
)</f>
        <v/>
      </c>
      <c r="P321" s="26" t="str">
        <f>IF(
   T_Channel[[#This Row],[Check]]&lt;&gt;"OK",
   "",
   IF(
      T_Channel[[#This Row],[Query]]="",
      "Empty",
      "Defined"
   )
)</f>
        <v/>
      </c>
      <c r="Q321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321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321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32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321" s="20" t="str">
        <f>IF(
   T_Channel[[#This Row],[Check]]&lt;&gt;"OK",
   "",
   T_Channel[[#This Row],[ChannelSymbol]] &amp; ".evtx"
)</f>
        <v/>
      </c>
      <c r="V321" s="20" t="str">
        <f>IF(
   T_Channel[[#This Row],[Check]]&lt;&gt;"OK",
   "",
   T_Channel[[#This Row],[LogFolder]] &amp; "\" &amp; T_Channel[[#This Row],[LogFile]]
)</f>
        <v/>
      </c>
      <c r="W321" s="20" t="str">
        <f>IF(
   T_Channel[[#This Row],[Safekeeping of logs]]="",
   "",
   VLOOKUP(T_Channel[[#This Row],[Safekeeping of logs]],T_List_LogMode[],2,FALSE)
)</f>
        <v/>
      </c>
      <c r="X321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322" spans="2:24" x14ac:dyDescent="0.45">
      <c r="B322" s="7"/>
      <c r="C322" s="7"/>
      <c r="D322" s="7"/>
      <c r="E322" s="7"/>
      <c r="F322" s="6"/>
      <c r="G322" s="6"/>
      <c r="H322" s="6"/>
      <c r="I322" s="6"/>
      <c r="J322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322" s="21"/>
      <c r="L322" s="7"/>
      <c r="M322" s="41"/>
      <c r="N322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322" s="26" t="str">
        <f>IF(
   T_Channel[[#This Row],[ProviderName]]="",
   "",
   COUNTIF($N$12:$N$9982,T_Channel[[#This Row],[ProviderName]])
)</f>
        <v/>
      </c>
      <c r="P322" s="26" t="str">
        <f>IF(
   T_Channel[[#This Row],[Check]]&lt;&gt;"OK",
   "",
   IF(
      T_Channel[[#This Row],[Query]]="",
      "Empty",
      "Defined"
   )
)</f>
        <v/>
      </c>
      <c r="Q322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322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322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32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322" s="20" t="str">
        <f>IF(
   T_Channel[[#This Row],[Check]]&lt;&gt;"OK",
   "",
   T_Channel[[#This Row],[ChannelSymbol]] &amp; ".evtx"
)</f>
        <v/>
      </c>
      <c r="V322" s="20" t="str">
        <f>IF(
   T_Channel[[#This Row],[Check]]&lt;&gt;"OK",
   "",
   T_Channel[[#This Row],[LogFolder]] &amp; "\" &amp; T_Channel[[#This Row],[LogFile]]
)</f>
        <v/>
      </c>
      <c r="W322" s="20" t="str">
        <f>IF(
   T_Channel[[#This Row],[Safekeeping of logs]]="",
   "",
   VLOOKUP(T_Channel[[#This Row],[Safekeeping of logs]],T_List_LogMode[],2,FALSE)
)</f>
        <v/>
      </c>
      <c r="X322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323" spans="2:24" x14ac:dyDescent="0.45">
      <c r="B323" s="7"/>
      <c r="C323" s="7"/>
      <c r="D323" s="7"/>
      <c r="E323" s="7"/>
      <c r="F323" s="6"/>
      <c r="G323" s="6"/>
      <c r="H323" s="6"/>
      <c r="I323" s="6"/>
      <c r="J323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323" s="21"/>
      <c r="L323" s="7"/>
      <c r="M323" s="41"/>
      <c r="N323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323" s="26" t="str">
        <f>IF(
   T_Channel[[#This Row],[ProviderName]]="",
   "",
   COUNTIF($N$12:$N$9982,T_Channel[[#This Row],[ProviderName]])
)</f>
        <v/>
      </c>
      <c r="P323" s="26" t="str">
        <f>IF(
   T_Channel[[#This Row],[Check]]&lt;&gt;"OK",
   "",
   IF(
      T_Channel[[#This Row],[Query]]="",
      "Empty",
      "Defined"
   )
)</f>
        <v/>
      </c>
      <c r="Q323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323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323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32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323" s="20" t="str">
        <f>IF(
   T_Channel[[#This Row],[Check]]&lt;&gt;"OK",
   "",
   T_Channel[[#This Row],[ChannelSymbol]] &amp; ".evtx"
)</f>
        <v/>
      </c>
      <c r="V323" s="20" t="str">
        <f>IF(
   T_Channel[[#This Row],[Check]]&lt;&gt;"OK",
   "",
   T_Channel[[#This Row],[LogFolder]] &amp; "\" &amp; T_Channel[[#This Row],[LogFile]]
)</f>
        <v/>
      </c>
      <c r="W323" s="20" t="str">
        <f>IF(
   T_Channel[[#This Row],[Safekeeping of logs]]="",
   "",
   VLOOKUP(T_Channel[[#This Row],[Safekeeping of logs]],T_List_LogMode[],2,FALSE)
)</f>
        <v/>
      </c>
      <c r="X323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324" spans="2:24" x14ac:dyDescent="0.45">
      <c r="B324" s="7"/>
      <c r="C324" s="7"/>
      <c r="D324" s="7"/>
      <c r="E324" s="7"/>
      <c r="F324" s="6"/>
      <c r="G324" s="6"/>
      <c r="H324" s="6"/>
      <c r="I324" s="6"/>
      <c r="J324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324" s="21"/>
      <c r="L324" s="7"/>
      <c r="M324" s="41"/>
      <c r="N324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324" s="26" t="str">
        <f>IF(
   T_Channel[[#This Row],[ProviderName]]="",
   "",
   COUNTIF($N$12:$N$9982,T_Channel[[#This Row],[ProviderName]])
)</f>
        <v/>
      </c>
      <c r="P324" s="26" t="str">
        <f>IF(
   T_Channel[[#This Row],[Check]]&lt;&gt;"OK",
   "",
   IF(
      T_Channel[[#This Row],[Query]]="",
      "Empty",
      "Defined"
   )
)</f>
        <v/>
      </c>
      <c r="Q324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324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324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32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324" s="20" t="str">
        <f>IF(
   T_Channel[[#This Row],[Check]]&lt;&gt;"OK",
   "",
   T_Channel[[#This Row],[ChannelSymbol]] &amp; ".evtx"
)</f>
        <v/>
      </c>
      <c r="V324" s="20" t="str">
        <f>IF(
   T_Channel[[#This Row],[Check]]&lt;&gt;"OK",
   "",
   T_Channel[[#This Row],[LogFolder]] &amp; "\" &amp; T_Channel[[#This Row],[LogFile]]
)</f>
        <v/>
      </c>
      <c r="W324" s="20" t="str">
        <f>IF(
   T_Channel[[#This Row],[Safekeeping of logs]]="",
   "",
   VLOOKUP(T_Channel[[#This Row],[Safekeeping of logs]],T_List_LogMode[],2,FALSE)
)</f>
        <v/>
      </c>
      <c r="X324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325" spans="2:24" x14ac:dyDescent="0.45">
      <c r="B325" s="7"/>
      <c r="C325" s="7"/>
      <c r="D325" s="7"/>
      <c r="E325" s="7"/>
      <c r="F325" s="6"/>
      <c r="G325" s="6"/>
      <c r="H325" s="6"/>
      <c r="I325" s="6"/>
      <c r="J325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325" s="21"/>
      <c r="L325" s="7"/>
      <c r="M325" s="41"/>
      <c r="N325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325" s="26" t="str">
        <f>IF(
   T_Channel[[#This Row],[ProviderName]]="",
   "",
   COUNTIF($N$12:$N$9982,T_Channel[[#This Row],[ProviderName]])
)</f>
        <v/>
      </c>
      <c r="P325" s="26" t="str">
        <f>IF(
   T_Channel[[#This Row],[Check]]&lt;&gt;"OK",
   "",
   IF(
      T_Channel[[#This Row],[Query]]="",
      "Empty",
      "Defined"
   )
)</f>
        <v/>
      </c>
      <c r="Q325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325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325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32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325" s="20" t="str">
        <f>IF(
   T_Channel[[#This Row],[Check]]&lt;&gt;"OK",
   "",
   T_Channel[[#This Row],[ChannelSymbol]] &amp; ".evtx"
)</f>
        <v/>
      </c>
      <c r="V325" s="20" t="str">
        <f>IF(
   T_Channel[[#This Row],[Check]]&lt;&gt;"OK",
   "",
   T_Channel[[#This Row],[LogFolder]] &amp; "\" &amp; T_Channel[[#This Row],[LogFile]]
)</f>
        <v/>
      </c>
      <c r="W325" s="20" t="str">
        <f>IF(
   T_Channel[[#This Row],[Safekeeping of logs]]="",
   "",
   VLOOKUP(T_Channel[[#This Row],[Safekeeping of logs]],T_List_LogMode[],2,FALSE)
)</f>
        <v/>
      </c>
      <c r="X325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326" spans="2:24" x14ac:dyDescent="0.45">
      <c r="B326" s="7"/>
      <c r="C326" s="7"/>
      <c r="D326" s="7"/>
      <c r="E326" s="7"/>
      <c r="F326" s="6"/>
      <c r="G326" s="6"/>
      <c r="H326" s="6"/>
      <c r="I326" s="6"/>
      <c r="J326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326" s="21"/>
      <c r="L326" s="7"/>
      <c r="M326" s="41"/>
      <c r="N326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326" s="26" t="str">
        <f>IF(
   T_Channel[[#This Row],[ProviderName]]="",
   "",
   COUNTIF($N$12:$N$9982,T_Channel[[#This Row],[ProviderName]])
)</f>
        <v/>
      </c>
      <c r="P326" s="26" t="str">
        <f>IF(
   T_Channel[[#This Row],[Check]]&lt;&gt;"OK",
   "",
   IF(
      T_Channel[[#This Row],[Query]]="",
      "Empty",
      "Defined"
   )
)</f>
        <v/>
      </c>
      <c r="Q326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326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326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32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326" s="20" t="str">
        <f>IF(
   T_Channel[[#This Row],[Check]]&lt;&gt;"OK",
   "",
   T_Channel[[#This Row],[ChannelSymbol]] &amp; ".evtx"
)</f>
        <v/>
      </c>
      <c r="V326" s="20" t="str">
        <f>IF(
   T_Channel[[#This Row],[Check]]&lt;&gt;"OK",
   "",
   T_Channel[[#This Row],[LogFolder]] &amp; "\" &amp; T_Channel[[#This Row],[LogFile]]
)</f>
        <v/>
      </c>
      <c r="W326" s="20" t="str">
        <f>IF(
   T_Channel[[#This Row],[Safekeeping of logs]]="",
   "",
   VLOOKUP(T_Channel[[#This Row],[Safekeeping of logs]],T_List_LogMode[],2,FALSE)
)</f>
        <v/>
      </c>
      <c r="X326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327" spans="2:24" x14ac:dyDescent="0.45">
      <c r="B327" s="7"/>
      <c r="C327" s="7"/>
      <c r="D327" s="7"/>
      <c r="E327" s="7"/>
      <c r="F327" s="6"/>
      <c r="G327" s="6"/>
      <c r="H327" s="6"/>
      <c r="I327" s="6"/>
      <c r="J327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327" s="21"/>
      <c r="L327" s="7"/>
      <c r="M327" s="41"/>
      <c r="N327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327" s="26" t="str">
        <f>IF(
   T_Channel[[#This Row],[ProviderName]]="",
   "",
   COUNTIF($N$12:$N$9982,T_Channel[[#This Row],[ProviderName]])
)</f>
        <v/>
      </c>
      <c r="P327" s="26" t="str">
        <f>IF(
   T_Channel[[#This Row],[Check]]&lt;&gt;"OK",
   "",
   IF(
      T_Channel[[#This Row],[Query]]="",
      "Empty",
      "Defined"
   )
)</f>
        <v/>
      </c>
      <c r="Q327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327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327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32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327" s="20" t="str">
        <f>IF(
   T_Channel[[#This Row],[Check]]&lt;&gt;"OK",
   "",
   T_Channel[[#This Row],[ChannelSymbol]] &amp; ".evtx"
)</f>
        <v/>
      </c>
      <c r="V327" s="20" t="str">
        <f>IF(
   T_Channel[[#This Row],[Check]]&lt;&gt;"OK",
   "",
   T_Channel[[#This Row],[LogFolder]] &amp; "\" &amp; T_Channel[[#This Row],[LogFile]]
)</f>
        <v/>
      </c>
      <c r="W327" s="20" t="str">
        <f>IF(
   T_Channel[[#This Row],[Safekeeping of logs]]="",
   "",
   VLOOKUP(T_Channel[[#This Row],[Safekeeping of logs]],T_List_LogMode[],2,FALSE)
)</f>
        <v/>
      </c>
      <c r="X327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328" spans="2:24" x14ac:dyDescent="0.45">
      <c r="B328" s="7"/>
      <c r="C328" s="7"/>
      <c r="D328" s="7"/>
      <c r="E328" s="7"/>
      <c r="F328" s="6"/>
      <c r="G328" s="6"/>
      <c r="H328" s="6"/>
      <c r="I328" s="6"/>
      <c r="J328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328" s="21"/>
      <c r="L328" s="7"/>
      <c r="M328" s="41"/>
      <c r="N328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328" s="26" t="str">
        <f>IF(
   T_Channel[[#This Row],[ProviderName]]="",
   "",
   COUNTIF($N$12:$N$9982,T_Channel[[#This Row],[ProviderName]])
)</f>
        <v/>
      </c>
      <c r="P328" s="26" t="str">
        <f>IF(
   T_Channel[[#This Row],[Check]]&lt;&gt;"OK",
   "",
   IF(
      T_Channel[[#This Row],[Query]]="",
      "Empty",
      "Defined"
   )
)</f>
        <v/>
      </c>
      <c r="Q328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328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328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32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328" s="20" t="str">
        <f>IF(
   T_Channel[[#This Row],[Check]]&lt;&gt;"OK",
   "",
   T_Channel[[#This Row],[ChannelSymbol]] &amp; ".evtx"
)</f>
        <v/>
      </c>
      <c r="V328" s="20" t="str">
        <f>IF(
   T_Channel[[#This Row],[Check]]&lt;&gt;"OK",
   "",
   T_Channel[[#This Row],[LogFolder]] &amp; "\" &amp; T_Channel[[#This Row],[LogFile]]
)</f>
        <v/>
      </c>
      <c r="W328" s="20" t="str">
        <f>IF(
   T_Channel[[#This Row],[Safekeeping of logs]]="",
   "",
   VLOOKUP(T_Channel[[#This Row],[Safekeeping of logs]],T_List_LogMode[],2,FALSE)
)</f>
        <v/>
      </c>
      <c r="X328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329" spans="2:24" x14ac:dyDescent="0.45">
      <c r="B329" s="7"/>
      <c r="C329" s="7"/>
      <c r="D329" s="7"/>
      <c r="E329" s="7"/>
      <c r="F329" s="6"/>
      <c r="G329" s="6"/>
      <c r="H329" s="6"/>
      <c r="I329" s="6"/>
      <c r="J329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329" s="21"/>
      <c r="L329" s="7"/>
      <c r="M329" s="41"/>
      <c r="N329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329" s="26" t="str">
        <f>IF(
   T_Channel[[#This Row],[ProviderName]]="",
   "",
   COUNTIF($N$12:$N$9982,T_Channel[[#This Row],[ProviderName]])
)</f>
        <v/>
      </c>
      <c r="P329" s="26" t="str">
        <f>IF(
   T_Channel[[#This Row],[Check]]&lt;&gt;"OK",
   "",
   IF(
      T_Channel[[#This Row],[Query]]="",
      "Empty",
      "Defined"
   )
)</f>
        <v/>
      </c>
      <c r="Q329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329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329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32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329" s="20" t="str">
        <f>IF(
   T_Channel[[#This Row],[Check]]&lt;&gt;"OK",
   "",
   T_Channel[[#This Row],[ChannelSymbol]] &amp; ".evtx"
)</f>
        <v/>
      </c>
      <c r="V329" s="20" t="str">
        <f>IF(
   T_Channel[[#This Row],[Check]]&lt;&gt;"OK",
   "",
   T_Channel[[#This Row],[LogFolder]] &amp; "\" &amp; T_Channel[[#This Row],[LogFile]]
)</f>
        <v/>
      </c>
      <c r="W329" s="20" t="str">
        <f>IF(
   T_Channel[[#This Row],[Safekeeping of logs]]="",
   "",
   VLOOKUP(T_Channel[[#This Row],[Safekeeping of logs]],T_List_LogMode[],2,FALSE)
)</f>
        <v/>
      </c>
      <c r="X329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330" spans="2:24" x14ac:dyDescent="0.45">
      <c r="B330" s="7"/>
      <c r="C330" s="7"/>
      <c r="D330" s="7"/>
      <c r="E330" s="7"/>
      <c r="F330" s="6"/>
      <c r="G330" s="6"/>
      <c r="H330" s="6"/>
      <c r="I330" s="6"/>
      <c r="J330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330" s="21"/>
      <c r="L330" s="7"/>
      <c r="M330" s="41"/>
      <c r="N330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330" s="26" t="str">
        <f>IF(
   T_Channel[[#This Row],[ProviderName]]="",
   "",
   COUNTIF($N$12:$N$9982,T_Channel[[#This Row],[ProviderName]])
)</f>
        <v/>
      </c>
      <c r="P330" s="26" t="str">
        <f>IF(
   T_Channel[[#This Row],[Check]]&lt;&gt;"OK",
   "",
   IF(
      T_Channel[[#This Row],[Query]]="",
      "Empty",
      "Defined"
   )
)</f>
        <v/>
      </c>
      <c r="Q330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330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330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33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330" s="20" t="str">
        <f>IF(
   T_Channel[[#This Row],[Check]]&lt;&gt;"OK",
   "",
   T_Channel[[#This Row],[ChannelSymbol]] &amp; ".evtx"
)</f>
        <v/>
      </c>
      <c r="V330" s="20" t="str">
        <f>IF(
   T_Channel[[#This Row],[Check]]&lt;&gt;"OK",
   "",
   T_Channel[[#This Row],[LogFolder]] &amp; "\" &amp; T_Channel[[#This Row],[LogFile]]
)</f>
        <v/>
      </c>
      <c r="W330" s="20" t="str">
        <f>IF(
   T_Channel[[#This Row],[Safekeeping of logs]]="",
   "",
   VLOOKUP(T_Channel[[#This Row],[Safekeeping of logs]],T_List_LogMode[],2,FALSE)
)</f>
        <v/>
      </c>
      <c r="X330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331" spans="2:24" x14ac:dyDescent="0.45">
      <c r="B331" s="7"/>
      <c r="C331" s="7"/>
      <c r="D331" s="7"/>
      <c r="E331" s="7"/>
      <c r="F331" s="6"/>
      <c r="G331" s="6"/>
      <c r="H331" s="6"/>
      <c r="I331" s="6"/>
      <c r="J331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331" s="21"/>
      <c r="L331" s="7"/>
      <c r="M331" s="41"/>
      <c r="N331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331" s="26" t="str">
        <f>IF(
   T_Channel[[#This Row],[ProviderName]]="",
   "",
   COUNTIF($N$12:$N$9982,T_Channel[[#This Row],[ProviderName]])
)</f>
        <v/>
      </c>
      <c r="P331" s="26" t="str">
        <f>IF(
   T_Channel[[#This Row],[Check]]&lt;&gt;"OK",
   "",
   IF(
      T_Channel[[#This Row],[Query]]="",
      "Empty",
      "Defined"
   )
)</f>
        <v/>
      </c>
      <c r="Q331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331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331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33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331" s="20" t="str">
        <f>IF(
   T_Channel[[#This Row],[Check]]&lt;&gt;"OK",
   "",
   T_Channel[[#This Row],[ChannelSymbol]] &amp; ".evtx"
)</f>
        <v/>
      </c>
      <c r="V331" s="20" t="str">
        <f>IF(
   T_Channel[[#This Row],[Check]]&lt;&gt;"OK",
   "",
   T_Channel[[#This Row],[LogFolder]] &amp; "\" &amp; T_Channel[[#This Row],[LogFile]]
)</f>
        <v/>
      </c>
      <c r="W331" s="20" t="str">
        <f>IF(
   T_Channel[[#This Row],[Safekeeping of logs]]="",
   "",
   VLOOKUP(T_Channel[[#This Row],[Safekeeping of logs]],T_List_LogMode[],2,FALSE)
)</f>
        <v/>
      </c>
      <c r="X331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332" spans="2:24" x14ac:dyDescent="0.45">
      <c r="B332" s="7"/>
      <c r="C332" s="7"/>
      <c r="D332" s="7"/>
      <c r="E332" s="7"/>
      <c r="F332" s="6"/>
      <c r="G332" s="6"/>
      <c r="H332" s="6"/>
      <c r="I332" s="6"/>
      <c r="J332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332" s="21"/>
      <c r="L332" s="7"/>
      <c r="M332" s="41"/>
      <c r="N332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332" s="26" t="str">
        <f>IF(
   T_Channel[[#This Row],[ProviderName]]="",
   "",
   COUNTIF($N$12:$N$9982,T_Channel[[#This Row],[ProviderName]])
)</f>
        <v/>
      </c>
      <c r="P332" s="26" t="str">
        <f>IF(
   T_Channel[[#This Row],[Check]]&lt;&gt;"OK",
   "",
   IF(
      T_Channel[[#This Row],[Query]]="",
      "Empty",
      "Defined"
   )
)</f>
        <v/>
      </c>
      <c r="Q332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332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332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33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332" s="20" t="str">
        <f>IF(
   T_Channel[[#This Row],[Check]]&lt;&gt;"OK",
   "",
   T_Channel[[#This Row],[ChannelSymbol]] &amp; ".evtx"
)</f>
        <v/>
      </c>
      <c r="V332" s="20" t="str">
        <f>IF(
   T_Channel[[#This Row],[Check]]&lt;&gt;"OK",
   "",
   T_Channel[[#This Row],[LogFolder]] &amp; "\" &amp; T_Channel[[#This Row],[LogFile]]
)</f>
        <v/>
      </c>
      <c r="W332" s="20" t="str">
        <f>IF(
   T_Channel[[#This Row],[Safekeeping of logs]]="",
   "",
   VLOOKUP(T_Channel[[#This Row],[Safekeeping of logs]],T_List_LogMode[],2,FALSE)
)</f>
        <v/>
      </c>
      <c r="X332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333" spans="2:24" x14ac:dyDescent="0.45">
      <c r="B333" s="7"/>
      <c r="C333" s="7"/>
      <c r="D333" s="7"/>
      <c r="E333" s="7"/>
      <c r="F333" s="6"/>
      <c r="G333" s="6"/>
      <c r="H333" s="6"/>
      <c r="I333" s="6"/>
      <c r="J333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333" s="21"/>
      <c r="L333" s="7"/>
      <c r="M333" s="41"/>
      <c r="N333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333" s="26" t="str">
        <f>IF(
   T_Channel[[#This Row],[ProviderName]]="",
   "",
   COUNTIF($N$12:$N$9982,T_Channel[[#This Row],[ProviderName]])
)</f>
        <v/>
      </c>
      <c r="P333" s="26" t="str">
        <f>IF(
   T_Channel[[#This Row],[Check]]&lt;&gt;"OK",
   "",
   IF(
      T_Channel[[#This Row],[Query]]="",
      "Empty",
      "Defined"
   )
)</f>
        <v/>
      </c>
      <c r="Q333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333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333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33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333" s="20" t="str">
        <f>IF(
   T_Channel[[#This Row],[Check]]&lt;&gt;"OK",
   "",
   T_Channel[[#This Row],[ChannelSymbol]] &amp; ".evtx"
)</f>
        <v/>
      </c>
      <c r="V333" s="20" t="str">
        <f>IF(
   T_Channel[[#This Row],[Check]]&lt;&gt;"OK",
   "",
   T_Channel[[#This Row],[LogFolder]] &amp; "\" &amp; T_Channel[[#This Row],[LogFile]]
)</f>
        <v/>
      </c>
      <c r="W333" s="20" t="str">
        <f>IF(
   T_Channel[[#This Row],[Safekeeping of logs]]="",
   "",
   VLOOKUP(T_Channel[[#This Row],[Safekeeping of logs]],T_List_LogMode[],2,FALSE)
)</f>
        <v/>
      </c>
      <c r="X333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334" spans="2:24" x14ac:dyDescent="0.45">
      <c r="B334" s="7"/>
      <c r="C334" s="7"/>
      <c r="D334" s="7"/>
      <c r="E334" s="7"/>
      <c r="F334" s="6"/>
      <c r="G334" s="6"/>
      <c r="H334" s="6"/>
      <c r="I334" s="6"/>
      <c r="J334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334" s="21"/>
      <c r="L334" s="7"/>
      <c r="M334" s="41"/>
      <c r="N334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334" s="26" t="str">
        <f>IF(
   T_Channel[[#This Row],[ProviderName]]="",
   "",
   COUNTIF($N$12:$N$9982,T_Channel[[#This Row],[ProviderName]])
)</f>
        <v/>
      </c>
      <c r="P334" s="26" t="str">
        <f>IF(
   T_Channel[[#This Row],[Check]]&lt;&gt;"OK",
   "",
   IF(
      T_Channel[[#This Row],[Query]]="",
      "Empty",
      "Defined"
   )
)</f>
        <v/>
      </c>
      <c r="Q334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334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334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33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334" s="20" t="str">
        <f>IF(
   T_Channel[[#This Row],[Check]]&lt;&gt;"OK",
   "",
   T_Channel[[#This Row],[ChannelSymbol]] &amp; ".evtx"
)</f>
        <v/>
      </c>
      <c r="V334" s="20" t="str">
        <f>IF(
   T_Channel[[#This Row],[Check]]&lt;&gt;"OK",
   "",
   T_Channel[[#This Row],[LogFolder]] &amp; "\" &amp; T_Channel[[#This Row],[LogFile]]
)</f>
        <v/>
      </c>
      <c r="W334" s="20" t="str">
        <f>IF(
   T_Channel[[#This Row],[Safekeeping of logs]]="",
   "",
   VLOOKUP(T_Channel[[#This Row],[Safekeeping of logs]],T_List_LogMode[],2,FALSE)
)</f>
        <v/>
      </c>
      <c r="X334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335" spans="2:24" x14ac:dyDescent="0.45">
      <c r="B335" s="7"/>
      <c r="C335" s="7"/>
      <c r="D335" s="7"/>
      <c r="E335" s="7"/>
      <c r="F335" s="6"/>
      <c r="G335" s="6"/>
      <c r="H335" s="6"/>
      <c r="I335" s="6"/>
      <c r="J335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335" s="21"/>
      <c r="L335" s="7"/>
      <c r="M335" s="41"/>
      <c r="N335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335" s="26" t="str">
        <f>IF(
   T_Channel[[#This Row],[ProviderName]]="",
   "",
   COUNTIF($N$12:$N$9982,T_Channel[[#This Row],[ProviderName]])
)</f>
        <v/>
      </c>
      <c r="P335" s="26" t="str">
        <f>IF(
   T_Channel[[#This Row],[Check]]&lt;&gt;"OK",
   "",
   IF(
      T_Channel[[#This Row],[Query]]="",
      "Empty",
      "Defined"
   )
)</f>
        <v/>
      </c>
      <c r="Q335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335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335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33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335" s="20" t="str">
        <f>IF(
   T_Channel[[#This Row],[Check]]&lt;&gt;"OK",
   "",
   T_Channel[[#This Row],[ChannelSymbol]] &amp; ".evtx"
)</f>
        <v/>
      </c>
      <c r="V335" s="20" t="str">
        <f>IF(
   T_Channel[[#This Row],[Check]]&lt;&gt;"OK",
   "",
   T_Channel[[#This Row],[LogFolder]] &amp; "\" &amp; T_Channel[[#This Row],[LogFile]]
)</f>
        <v/>
      </c>
      <c r="W335" s="20" t="str">
        <f>IF(
   T_Channel[[#This Row],[Safekeeping of logs]]="",
   "",
   VLOOKUP(T_Channel[[#This Row],[Safekeeping of logs]],T_List_LogMode[],2,FALSE)
)</f>
        <v/>
      </c>
      <c r="X335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336" spans="2:24" x14ac:dyDescent="0.45">
      <c r="B336" s="7"/>
      <c r="C336" s="7"/>
      <c r="D336" s="7"/>
      <c r="E336" s="7"/>
      <c r="F336" s="6"/>
      <c r="G336" s="6"/>
      <c r="H336" s="6"/>
      <c r="I336" s="6"/>
      <c r="J336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336" s="21"/>
      <c r="L336" s="7"/>
      <c r="M336" s="41"/>
      <c r="N336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336" s="26" t="str">
        <f>IF(
   T_Channel[[#This Row],[ProviderName]]="",
   "",
   COUNTIF($N$12:$N$9982,T_Channel[[#This Row],[ProviderName]])
)</f>
        <v/>
      </c>
      <c r="P336" s="26" t="str">
        <f>IF(
   T_Channel[[#This Row],[Check]]&lt;&gt;"OK",
   "",
   IF(
      T_Channel[[#This Row],[Query]]="",
      "Empty",
      "Defined"
   )
)</f>
        <v/>
      </c>
      <c r="Q336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336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336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33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336" s="20" t="str">
        <f>IF(
   T_Channel[[#This Row],[Check]]&lt;&gt;"OK",
   "",
   T_Channel[[#This Row],[ChannelSymbol]] &amp; ".evtx"
)</f>
        <v/>
      </c>
      <c r="V336" s="20" t="str">
        <f>IF(
   T_Channel[[#This Row],[Check]]&lt;&gt;"OK",
   "",
   T_Channel[[#This Row],[LogFolder]] &amp; "\" &amp; T_Channel[[#This Row],[LogFile]]
)</f>
        <v/>
      </c>
      <c r="W336" s="20" t="str">
        <f>IF(
   T_Channel[[#This Row],[Safekeeping of logs]]="",
   "",
   VLOOKUP(T_Channel[[#This Row],[Safekeeping of logs]],T_List_LogMode[],2,FALSE)
)</f>
        <v/>
      </c>
      <c r="X336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337" spans="2:24" x14ac:dyDescent="0.45">
      <c r="B337" s="7"/>
      <c r="C337" s="7"/>
      <c r="D337" s="7"/>
      <c r="E337" s="7"/>
      <c r="F337" s="6"/>
      <c r="G337" s="6"/>
      <c r="H337" s="6"/>
      <c r="I337" s="6"/>
      <c r="J337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337" s="21"/>
      <c r="L337" s="7"/>
      <c r="M337" s="41"/>
      <c r="N337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337" s="26" t="str">
        <f>IF(
   T_Channel[[#This Row],[ProviderName]]="",
   "",
   COUNTIF($N$12:$N$9982,T_Channel[[#This Row],[ProviderName]])
)</f>
        <v/>
      </c>
      <c r="P337" s="26" t="str">
        <f>IF(
   T_Channel[[#This Row],[Check]]&lt;&gt;"OK",
   "",
   IF(
      T_Channel[[#This Row],[Query]]="",
      "Empty",
      "Defined"
   )
)</f>
        <v/>
      </c>
      <c r="Q337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337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337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33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337" s="20" t="str">
        <f>IF(
   T_Channel[[#This Row],[Check]]&lt;&gt;"OK",
   "",
   T_Channel[[#This Row],[ChannelSymbol]] &amp; ".evtx"
)</f>
        <v/>
      </c>
      <c r="V337" s="20" t="str">
        <f>IF(
   T_Channel[[#This Row],[Check]]&lt;&gt;"OK",
   "",
   T_Channel[[#This Row],[LogFolder]] &amp; "\" &amp; T_Channel[[#This Row],[LogFile]]
)</f>
        <v/>
      </c>
      <c r="W337" s="20" t="str">
        <f>IF(
   T_Channel[[#This Row],[Safekeeping of logs]]="",
   "",
   VLOOKUP(T_Channel[[#This Row],[Safekeeping of logs]],T_List_LogMode[],2,FALSE)
)</f>
        <v/>
      </c>
      <c r="X337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338" spans="2:24" x14ac:dyDescent="0.45">
      <c r="B338" s="7"/>
      <c r="C338" s="7"/>
      <c r="D338" s="7"/>
      <c r="E338" s="7"/>
      <c r="F338" s="6"/>
      <c r="G338" s="6"/>
      <c r="H338" s="6"/>
      <c r="I338" s="6"/>
      <c r="J338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338" s="21"/>
      <c r="L338" s="7"/>
      <c r="M338" s="41"/>
      <c r="N338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338" s="26" t="str">
        <f>IF(
   T_Channel[[#This Row],[ProviderName]]="",
   "",
   COUNTIF($N$12:$N$9982,T_Channel[[#This Row],[ProviderName]])
)</f>
        <v/>
      </c>
      <c r="P338" s="26" t="str">
        <f>IF(
   T_Channel[[#This Row],[Check]]&lt;&gt;"OK",
   "",
   IF(
      T_Channel[[#This Row],[Query]]="",
      "Empty",
      "Defined"
   )
)</f>
        <v/>
      </c>
      <c r="Q338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338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338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33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338" s="20" t="str">
        <f>IF(
   T_Channel[[#This Row],[Check]]&lt;&gt;"OK",
   "",
   T_Channel[[#This Row],[ChannelSymbol]] &amp; ".evtx"
)</f>
        <v/>
      </c>
      <c r="V338" s="20" t="str">
        <f>IF(
   T_Channel[[#This Row],[Check]]&lt;&gt;"OK",
   "",
   T_Channel[[#This Row],[LogFolder]] &amp; "\" &amp; T_Channel[[#This Row],[LogFile]]
)</f>
        <v/>
      </c>
      <c r="W338" s="20" t="str">
        <f>IF(
   T_Channel[[#This Row],[Safekeeping of logs]]="",
   "",
   VLOOKUP(T_Channel[[#This Row],[Safekeeping of logs]],T_List_LogMode[],2,FALSE)
)</f>
        <v/>
      </c>
      <c r="X338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339" spans="2:24" x14ac:dyDescent="0.45">
      <c r="B339" s="7"/>
      <c r="C339" s="7"/>
      <c r="D339" s="7"/>
      <c r="E339" s="7"/>
      <c r="F339" s="6"/>
      <c r="G339" s="6"/>
      <c r="H339" s="6"/>
      <c r="I339" s="6"/>
      <c r="J339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339" s="21"/>
      <c r="L339" s="7"/>
      <c r="M339" s="41"/>
      <c r="N339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339" s="26" t="str">
        <f>IF(
   T_Channel[[#This Row],[ProviderName]]="",
   "",
   COUNTIF($N$12:$N$9982,T_Channel[[#This Row],[ProviderName]])
)</f>
        <v/>
      </c>
      <c r="P339" s="26" t="str">
        <f>IF(
   T_Channel[[#This Row],[Check]]&lt;&gt;"OK",
   "",
   IF(
      T_Channel[[#This Row],[Query]]="",
      "Empty",
      "Defined"
   )
)</f>
        <v/>
      </c>
      <c r="Q339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339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339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33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339" s="20" t="str">
        <f>IF(
   T_Channel[[#This Row],[Check]]&lt;&gt;"OK",
   "",
   T_Channel[[#This Row],[ChannelSymbol]] &amp; ".evtx"
)</f>
        <v/>
      </c>
      <c r="V339" s="20" t="str">
        <f>IF(
   T_Channel[[#This Row],[Check]]&lt;&gt;"OK",
   "",
   T_Channel[[#This Row],[LogFolder]] &amp; "\" &amp; T_Channel[[#This Row],[LogFile]]
)</f>
        <v/>
      </c>
      <c r="W339" s="20" t="str">
        <f>IF(
   T_Channel[[#This Row],[Safekeeping of logs]]="",
   "",
   VLOOKUP(T_Channel[[#This Row],[Safekeeping of logs]],T_List_LogMode[],2,FALSE)
)</f>
        <v/>
      </c>
      <c r="X339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340" spans="2:24" x14ac:dyDescent="0.45">
      <c r="B340" s="7"/>
      <c r="C340" s="7"/>
      <c r="D340" s="7"/>
      <c r="E340" s="7"/>
      <c r="F340" s="6"/>
      <c r="G340" s="6"/>
      <c r="H340" s="6"/>
      <c r="I340" s="6"/>
      <c r="J340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340" s="21"/>
      <c r="L340" s="7"/>
      <c r="M340" s="41"/>
      <c r="N340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340" s="26" t="str">
        <f>IF(
   T_Channel[[#This Row],[ProviderName]]="",
   "",
   COUNTIF($N$12:$N$9982,T_Channel[[#This Row],[ProviderName]])
)</f>
        <v/>
      </c>
      <c r="P340" s="26" t="str">
        <f>IF(
   T_Channel[[#This Row],[Check]]&lt;&gt;"OK",
   "",
   IF(
      T_Channel[[#This Row],[Query]]="",
      "Empty",
      "Defined"
   )
)</f>
        <v/>
      </c>
      <c r="Q340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340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340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34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340" s="20" t="str">
        <f>IF(
   T_Channel[[#This Row],[Check]]&lt;&gt;"OK",
   "",
   T_Channel[[#This Row],[ChannelSymbol]] &amp; ".evtx"
)</f>
        <v/>
      </c>
      <c r="V340" s="20" t="str">
        <f>IF(
   T_Channel[[#This Row],[Check]]&lt;&gt;"OK",
   "",
   T_Channel[[#This Row],[LogFolder]] &amp; "\" &amp; T_Channel[[#This Row],[LogFile]]
)</f>
        <v/>
      </c>
      <c r="W340" s="20" t="str">
        <f>IF(
   T_Channel[[#This Row],[Safekeeping of logs]]="",
   "",
   VLOOKUP(T_Channel[[#This Row],[Safekeeping of logs]],T_List_LogMode[],2,FALSE)
)</f>
        <v/>
      </c>
      <c r="X340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341" spans="2:24" x14ac:dyDescent="0.45">
      <c r="B341" s="7"/>
      <c r="C341" s="7"/>
      <c r="D341" s="7"/>
      <c r="E341" s="7"/>
      <c r="F341" s="6"/>
      <c r="G341" s="6"/>
      <c r="H341" s="6"/>
      <c r="I341" s="6"/>
      <c r="J341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341" s="21"/>
      <c r="L341" s="7"/>
      <c r="M341" s="41"/>
      <c r="N341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341" s="26" t="str">
        <f>IF(
   T_Channel[[#This Row],[ProviderName]]="",
   "",
   COUNTIF($N$12:$N$9982,T_Channel[[#This Row],[ProviderName]])
)</f>
        <v/>
      </c>
      <c r="P341" s="26" t="str">
        <f>IF(
   T_Channel[[#This Row],[Check]]&lt;&gt;"OK",
   "",
   IF(
      T_Channel[[#This Row],[Query]]="",
      "Empty",
      "Defined"
   )
)</f>
        <v/>
      </c>
      <c r="Q341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341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341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34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341" s="20" t="str">
        <f>IF(
   T_Channel[[#This Row],[Check]]&lt;&gt;"OK",
   "",
   T_Channel[[#This Row],[ChannelSymbol]] &amp; ".evtx"
)</f>
        <v/>
      </c>
      <c r="V341" s="20" t="str">
        <f>IF(
   T_Channel[[#This Row],[Check]]&lt;&gt;"OK",
   "",
   T_Channel[[#This Row],[LogFolder]] &amp; "\" &amp; T_Channel[[#This Row],[LogFile]]
)</f>
        <v/>
      </c>
      <c r="W341" s="20" t="str">
        <f>IF(
   T_Channel[[#This Row],[Safekeeping of logs]]="",
   "",
   VLOOKUP(T_Channel[[#This Row],[Safekeeping of logs]],T_List_LogMode[],2,FALSE)
)</f>
        <v/>
      </c>
      <c r="X341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342" spans="2:24" x14ac:dyDescent="0.45">
      <c r="B342" s="7"/>
      <c r="C342" s="7"/>
      <c r="D342" s="7"/>
      <c r="E342" s="7"/>
      <c r="F342" s="6"/>
      <c r="G342" s="6"/>
      <c r="H342" s="6"/>
      <c r="I342" s="6"/>
      <c r="J342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342" s="21"/>
      <c r="L342" s="7"/>
      <c r="M342" s="41"/>
      <c r="N342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342" s="26" t="str">
        <f>IF(
   T_Channel[[#This Row],[ProviderName]]="",
   "",
   COUNTIF($N$12:$N$9982,T_Channel[[#This Row],[ProviderName]])
)</f>
        <v/>
      </c>
      <c r="P342" s="26" t="str">
        <f>IF(
   T_Channel[[#This Row],[Check]]&lt;&gt;"OK",
   "",
   IF(
      T_Channel[[#This Row],[Query]]="",
      "Empty",
      "Defined"
   )
)</f>
        <v/>
      </c>
      <c r="Q342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342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342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34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342" s="20" t="str">
        <f>IF(
   T_Channel[[#This Row],[Check]]&lt;&gt;"OK",
   "",
   T_Channel[[#This Row],[ChannelSymbol]] &amp; ".evtx"
)</f>
        <v/>
      </c>
      <c r="V342" s="20" t="str">
        <f>IF(
   T_Channel[[#This Row],[Check]]&lt;&gt;"OK",
   "",
   T_Channel[[#This Row],[LogFolder]] &amp; "\" &amp; T_Channel[[#This Row],[LogFile]]
)</f>
        <v/>
      </c>
      <c r="W342" s="20" t="str">
        <f>IF(
   T_Channel[[#This Row],[Safekeeping of logs]]="",
   "",
   VLOOKUP(T_Channel[[#This Row],[Safekeeping of logs]],T_List_LogMode[],2,FALSE)
)</f>
        <v/>
      </c>
      <c r="X342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343" spans="2:24" x14ac:dyDescent="0.45">
      <c r="B343" s="7"/>
      <c r="C343" s="7"/>
      <c r="D343" s="7"/>
      <c r="E343" s="7"/>
      <c r="F343" s="6"/>
      <c r="G343" s="6"/>
      <c r="H343" s="6"/>
      <c r="I343" s="6"/>
      <c r="J343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343" s="21"/>
      <c r="L343" s="7"/>
      <c r="M343" s="41"/>
      <c r="N343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343" s="26" t="str">
        <f>IF(
   T_Channel[[#This Row],[ProviderName]]="",
   "",
   COUNTIF($N$12:$N$9982,T_Channel[[#This Row],[ProviderName]])
)</f>
        <v/>
      </c>
      <c r="P343" s="26" t="str">
        <f>IF(
   T_Channel[[#This Row],[Check]]&lt;&gt;"OK",
   "",
   IF(
      T_Channel[[#This Row],[Query]]="",
      "Empty",
      "Defined"
   )
)</f>
        <v/>
      </c>
      <c r="Q343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343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343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34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343" s="20" t="str">
        <f>IF(
   T_Channel[[#This Row],[Check]]&lt;&gt;"OK",
   "",
   T_Channel[[#This Row],[ChannelSymbol]] &amp; ".evtx"
)</f>
        <v/>
      </c>
      <c r="V343" s="20" t="str">
        <f>IF(
   T_Channel[[#This Row],[Check]]&lt;&gt;"OK",
   "",
   T_Channel[[#This Row],[LogFolder]] &amp; "\" &amp; T_Channel[[#This Row],[LogFile]]
)</f>
        <v/>
      </c>
      <c r="W343" s="20" t="str">
        <f>IF(
   T_Channel[[#This Row],[Safekeeping of logs]]="",
   "",
   VLOOKUP(T_Channel[[#This Row],[Safekeeping of logs]],T_List_LogMode[],2,FALSE)
)</f>
        <v/>
      </c>
      <c r="X343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344" spans="2:24" x14ac:dyDescent="0.45">
      <c r="B344" s="7"/>
      <c r="C344" s="7"/>
      <c r="D344" s="7"/>
      <c r="E344" s="7"/>
      <c r="F344" s="6"/>
      <c r="G344" s="6"/>
      <c r="H344" s="6"/>
      <c r="I344" s="6"/>
      <c r="J344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344" s="21"/>
      <c r="L344" s="7"/>
      <c r="M344" s="41"/>
      <c r="N344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344" s="26" t="str">
        <f>IF(
   T_Channel[[#This Row],[ProviderName]]="",
   "",
   COUNTIF($N$12:$N$9982,T_Channel[[#This Row],[ProviderName]])
)</f>
        <v/>
      </c>
      <c r="P344" s="26" t="str">
        <f>IF(
   T_Channel[[#This Row],[Check]]&lt;&gt;"OK",
   "",
   IF(
      T_Channel[[#This Row],[Query]]="",
      "Empty",
      "Defined"
   )
)</f>
        <v/>
      </c>
      <c r="Q344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344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344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34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344" s="20" t="str">
        <f>IF(
   T_Channel[[#This Row],[Check]]&lt;&gt;"OK",
   "",
   T_Channel[[#This Row],[ChannelSymbol]] &amp; ".evtx"
)</f>
        <v/>
      </c>
      <c r="V344" s="20" t="str">
        <f>IF(
   T_Channel[[#This Row],[Check]]&lt;&gt;"OK",
   "",
   T_Channel[[#This Row],[LogFolder]] &amp; "\" &amp; T_Channel[[#This Row],[LogFile]]
)</f>
        <v/>
      </c>
      <c r="W344" s="20" t="str">
        <f>IF(
   T_Channel[[#This Row],[Safekeeping of logs]]="",
   "",
   VLOOKUP(T_Channel[[#This Row],[Safekeeping of logs]],T_List_LogMode[],2,FALSE)
)</f>
        <v/>
      </c>
      <c r="X344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345" spans="2:24" x14ac:dyDescent="0.45">
      <c r="B345" s="7"/>
      <c r="C345" s="7"/>
      <c r="D345" s="7"/>
      <c r="E345" s="7"/>
      <c r="F345" s="6"/>
      <c r="G345" s="6"/>
      <c r="H345" s="6"/>
      <c r="I345" s="6"/>
      <c r="J345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345" s="21"/>
      <c r="L345" s="7"/>
      <c r="M345" s="41"/>
      <c r="N345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345" s="26" t="str">
        <f>IF(
   T_Channel[[#This Row],[ProviderName]]="",
   "",
   COUNTIF($N$12:$N$9982,T_Channel[[#This Row],[ProviderName]])
)</f>
        <v/>
      </c>
      <c r="P345" s="26" t="str">
        <f>IF(
   T_Channel[[#This Row],[Check]]&lt;&gt;"OK",
   "",
   IF(
      T_Channel[[#This Row],[Query]]="",
      "Empty",
      "Defined"
   )
)</f>
        <v/>
      </c>
      <c r="Q345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345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345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34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345" s="20" t="str">
        <f>IF(
   T_Channel[[#This Row],[Check]]&lt;&gt;"OK",
   "",
   T_Channel[[#This Row],[ChannelSymbol]] &amp; ".evtx"
)</f>
        <v/>
      </c>
      <c r="V345" s="20" t="str">
        <f>IF(
   T_Channel[[#This Row],[Check]]&lt;&gt;"OK",
   "",
   T_Channel[[#This Row],[LogFolder]] &amp; "\" &amp; T_Channel[[#This Row],[LogFile]]
)</f>
        <v/>
      </c>
      <c r="W345" s="20" t="str">
        <f>IF(
   T_Channel[[#This Row],[Safekeeping of logs]]="",
   "",
   VLOOKUP(T_Channel[[#This Row],[Safekeeping of logs]],T_List_LogMode[],2,FALSE)
)</f>
        <v/>
      </c>
      <c r="X345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346" spans="2:24" x14ac:dyDescent="0.45">
      <c r="B346" s="7"/>
      <c r="C346" s="7"/>
      <c r="D346" s="7"/>
      <c r="E346" s="7"/>
      <c r="F346" s="6"/>
      <c r="G346" s="6"/>
      <c r="H346" s="6"/>
      <c r="I346" s="6"/>
      <c r="J346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346" s="21"/>
      <c r="L346" s="7"/>
      <c r="M346" s="41"/>
      <c r="N346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346" s="26" t="str">
        <f>IF(
   T_Channel[[#This Row],[ProviderName]]="",
   "",
   COUNTIF($N$12:$N$9982,T_Channel[[#This Row],[ProviderName]])
)</f>
        <v/>
      </c>
      <c r="P346" s="26" t="str">
        <f>IF(
   T_Channel[[#This Row],[Check]]&lt;&gt;"OK",
   "",
   IF(
      T_Channel[[#This Row],[Query]]="",
      "Empty",
      "Defined"
   )
)</f>
        <v/>
      </c>
      <c r="Q346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346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346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34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346" s="20" t="str">
        <f>IF(
   T_Channel[[#This Row],[Check]]&lt;&gt;"OK",
   "",
   T_Channel[[#This Row],[ChannelSymbol]] &amp; ".evtx"
)</f>
        <v/>
      </c>
      <c r="V346" s="20" t="str">
        <f>IF(
   T_Channel[[#This Row],[Check]]&lt;&gt;"OK",
   "",
   T_Channel[[#This Row],[LogFolder]] &amp; "\" &amp; T_Channel[[#This Row],[LogFile]]
)</f>
        <v/>
      </c>
      <c r="W346" s="20" t="str">
        <f>IF(
   T_Channel[[#This Row],[Safekeeping of logs]]="",
   "",
   VLOOKUP(T_Channel[[#This Row],[Safekeeping of logs]],T_List_LogMode[],2,FALSE)
)</f>
        <v/>
      </c>
      <c r="X346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347" spans="2:24" x14ac:dyDescent="0.45">
      <c r="B347" s="7"/>
      <c r="C347" s="7"/>
      <c r="D347" s="7"/>
      <c r="E347" s="7"/>
      <c r="F347" s="6"/>
      <c r="G347" s="6"/>
      <c r="H347" s="6"/>
      <c r="I347" s="6"/>
      <c r="J347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347" s="21"/>
      <c r="L347" s="7"/>
      <c r="M347" s="41"/>
      <c r="N347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347" s="26" t="str">
        <f>IF(
   T_Channel[[#This Row],[ProviderName]]="",
   "",
   COUNTIF($N$12:$N$9982,T_Channel[[#This Row],[ProviderName]])
)</f>
        <v/>
      </c>
      <c r="P347" s="26" t="str">
        <f>IF(
   T_Channel[[#This Row],[Check]]&lt;&gt;"OK",
   "",
   IF(
      T_Channel[[#This Row],[Query]]="",
      "Empty",
      "Defined"
   )
)</f>
        <v/>
      </c>
      <c r="Q347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347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347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34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347" s="20" t="str">
        <f>IF(
   T_Channel[[#This Row],[Check]]&lt;&gt;"OK",
   "",
   T_Channel[[#This Row],[ChannelSymbol]] &amp; ".evtx"
)</f>
        <v/>
      </c>
      <c r="V347" s="20" t="str">
        <f>IF(
   T_Channel[[#This Row],[Check]]&lt;&gt;"OK",
   "",
   T_Channel[[#This Row],[LogFolder]] &amp; "\" &amp; T_Channel[[#This Row],[LogFile]]
)</f>
        <v/>
      </c>
      <c r="W347" s="20" t="str">
        <f>IF(
   T_Channel[[#This Row],[Safekeeping of logs]]="",
   "",
   VLOOKUP(T_Channel[[#This Row],[Safekeeping of logs]],T_List_LogMode[],2,FALSE)
)</f>
        <v/>
      </c>
      <c r="X347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348" spans="2:24" x14ac:dyDescent="0.45">
      <c r="B348" s="7"/>
      <c r="C348" s="7"/>
      <c r="D348" s="7"/>
      <c r="E348" s="7"/>
      <c r="F348" s="6"/>
      <c r="G348" s="6"/>
      <c r="H348" s="6"/>
      <c r="I348" s="6"/>
      <c r="J348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348" s="21"/>
      <c r="L348" s="7"/>
      <c r="M348" s="41"/>
      <c r="N348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348" s="26" t="str">
        <f>IF(
   T_Channel[[#This Row],[ProviderName]]="",
   "",
   COUNTIF($N$12:$N$9982,T_Channel[[#This Row],[ProviderName]])
)</f>
        <v/>
      </c>
      <c r="P348" s="26" t="str">
        <f>IF(
   T_Channel[[#This Row],[Check]]&lt;&gt;"OK",
   "",
   IF(
      T_Channel[[#This Row],[Query]]="",
      "Empty",
      "Defined"
   )
)</f>
        <v/>
      </c>
      <c r="Q348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348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348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34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348" s="20" t="str">
        <f>IF(
   T_Channel[[#This Row],[Check]]&lt;&gt;"OK",
   "",
   T_Channel[[#This Row],[ChannelSymbol]] &amp; ".evtx"
)</f>
        <v/>
      </c>
      <c r="V348" s="20" t="str">
        <f>IF(
   T_Channel[[#This Row],[Check]]&lt;&gt;"OK",
   "",
   T_Channel[[#This Row],[LogFolder]] &amp; "\" &amp; T_Channel[[#This Row],[LogFile]]
)</f>
        <v/>
      </c>
      <c r="W348" s="20" t="str">
        <f>IF(
   T_Channel[[#This Row],[Safekeeping of logs]]="",
   "",
   VLOOKUP(T_Channel[[#This Row],[Safekeeping of logs]],T_List_LogMode[],2,FALSE)
)</f>
        <v/>
      </c>
      <c r="X348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349" spans="2:24" x14ac:dyDescent="0.45">
      <c r="B349" s="7"/>
      <c r="C349" s="7"/>
      <c r="D349" s="7"/>
      <c r="E349" s="7"/>
      <c r="F349" s="6"/>
      <c r="G349" s="6"/>
      <c r="H349" s="6"/>
      <c r="I349" s="6"/>
      <c r="J349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349" s="21"/>
      <c r="L349" s="7"/>
      <c r="M349" s="41"/>
      <c r="N349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349" s="26" t="str">
        <f>IF(
   T_Channel[[#This Row],[ProviderName]]="",
   "",
   COUNTIF($N$12:$N$9982,T_Channel[[#This Row],[ProviderName]])
)</f>
        <v/>
      </c>
      <c r="P349" s="26" t="str">
        <f>IF(
   T_Channel[[#This Row],[Check]]&lt;&gt;"OK",
   "",
   IF(
      T_Channel[[#This Row],[Query]]="",
      "Empty",
      "Defined"
   )
)</f>
        <v/>
      </c>
      <c r="Q349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349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349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34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349" s="20" t="str">
        <f>IF(
   T_Channel[[#This Row],[Check]]&lt;&gt;"OK",
   "",
   T_Channel[[#This Row],[ChannelSymbol]] &amp; ".evtx"
)</f>
        <v/>
      </c>
      <c r="V349" s="20" t="str">
        <f>IF(
   T_Channel[[#This Row],[Check]]&lt;&gt;"OK",
   "",
   T_Channel[[#This Row],[LogFolder]] &amp; "\" &amp; T_Channel[[#This Row],[LogFile]]
)</f>
        <v/>
      </c>
      <c r="W349" s="20" t="str">
        <f>IF(
   T_Channel[[#This Row],[Safekeeping of logs]]="",
   "",
   VLOOKUP(T_Channel[[#This Row],[Safekeeping of logs]],T_List_LogMode[],2,FALSE)
)</f>
        <v/>
      </c>
      <c r="X349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350" spans="2:24" x14ac:dyDescent="0.45">
      <c r="B350" s="7"/>
      <c r="C350" s="7"/>
      <c r="D350" s="7"/>
      <c r="E350" s="7"/>
      <c r="F350" s="6"/>
      <c r="G350" s="6"/>
      <c r="H350" s="6"/>
      <c r="I350" s="6"/>
      <c r="J350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350" s="21"/>
      <c r="L350" s="7"/>
      <c r="M350" s="41"/>
      <c r="N350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350" s="26" t="str">
        <f>IF(
   T_Channel[[#This Row],[ProviderName]]="",
   "",
   COUNTIF($N$12:$N$9982,T_Channel[[#This Row],[ProviderName]])
)</f>
        <v/>
      </c>
      <c r="P350" s="26" t="str">
        <f>IF(
   T_Channel[[#This Row],[Check]]&lt;&gt;"OK",
   "",
   IF(
      T_Channel[[#This Row],[Query]]="",
      "Empty",
      "Defined"
   )
)</f>
        <v/>
      </c>
      <c r="Q350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350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350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35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350" s="20" t="str">
        <f>IF(
   T_Channel[[#This Row],[Check]]&lt;&gt;"OK",
   "",
   T_Channel[[#This Row],[ChannelSymbol]] &amp; ".evtx"
)</f>
        <v/>
      </c>
      <c r="V350" s="20" t="str">
        <f>IF(
   T_Channel[[#This Row],[Check]]&lt;&gt;"OK",
   "",
   T_Channel[[#This Row],[LogFolder]] &amp; "\" &amp; T_Channel[[#This Row],[LogFile]]
)</f>
        <v/>
      </c>
      <c r="W350" s="20" t="str">
        <f>IF(
   T_Channel[[#This Row],[Safekeeping of logs]]="",
   "",
   VLOOKUP(T_Channel[[#This Row],[Safekeeping of logs]],T_List_LogMode[],2,FALSE)
)</f>
        <v/>
      </c>
      <c r="X350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351" spans="2:24" x14ac:dyDescent="0.45">
      <c r="B351" s="7"/>
      <c r="C351" s="7"/>
      <c r="D351" s="7"/>
      <c r="E351" s="7"/>
      <c r="F351" s="6"/>
      <c r="G351" s="6"/>
      <c r="H351" s="6"/>
      <c r="I351" s="6"/>
      <c r="J351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351" s="21"/>
      <c r="L351" s="7"/>
      <c r="M351" s="41"/>
      <c r="N351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351" s="26" t="str">
        <f>IF(
   T_Channel[[#This Row],[ProviderName]]="",
   "",
   COUNTIF($N$12:$N$9982,T_Channel[[#This Row],[ProviderName]])
)</f>
        <v/>
      </c>
      <c r="P351" s="26" t="str">
        <f>IF(
   T_Channel[[#This Row],[Check]]&lt;&gt;"OK",
   "",
   IF(
      T_Channel[[#This Row],[Query]]="",
      "Empty",
      "Defined"
   )
)</f>
        <v/>
      </c>
      <c r="Q351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351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351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35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351" s="20" t="str">
        <f>IF(
   T_Channel[[#This Row],[Check]]&lt;&gt;"OK",
   "",
   T_Channel[[#This Row],[ChannelSymbol]] &amp; ".evtx"
)</f>
        <v/>
      </c>
      <c r="V351" s="20" t="str">
        <f>IF(
   T_Channel[[#This Row],[Check]]&lt;&gt;"OK",
   "",
   T_Channel[[#This Row],[LogFolder]] &amp; "\" &amp; T_Channel[[#This Row],[LogFile]]
)</f>
        <v/>
      </c>
      <c r="W351" s="20" t="str">
        <f>IF(
   T_Channel[[#This Row],[Safekeeping of logs]]="",
   "",
   VLOOKUP(T_Channel[[#This Row],[Safekeeping of logs]],T_List_LogMode[],2,FALSE)
)</f>
        <v/>
      </c>
      <c r="X351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352" spans="2:24" x14ac:dyDescent="0.45">
      <c r="B352" s="7"/>
      <c r="C352" s="7"/>
      <c r="D352" s="7"/>
      <c r="E352" s="7"/>
      <c r="F352" s="6"/>
      <c r="G352" s="6"/>
      <c r="H352" s="6"/>
      <c r="I352" s="6"/>
      <c r="J352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352" s="21"/>
      <c r="L352" s="7"/>
      <c r="M352" s="41"/>
      <c r="N352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352" s="26" t="str">
        <f>IF(
   T_Channel[[#This Row],[ProviderName]]="",
   "",
   COUNTIF($N$12:$N$9982,T_Channel[[#This Row],[ProviderName]])
)</f>
        <v/>
      </c>
      <c r="P352" s="26" t="str">
        <f>IF(
   T_Channel[[#This Row],[Check]]&lt;&gt;"OK",
   "",
   IF(
      T_Channel[[#This Row],[Query]]="",
      "Empty",
      "Defined"
   )
)</f>
        <v/>
      </c>
      <c r="Q352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352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352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35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352" s="20" t="str">
        <f>IF(
   T_Channel[[#This Row],[Check]]&lt;&gt;"OK",
   "",
   T_Channel[[#This Row],[ChannelSymbol]] &amp; ".evtx"
)</f>
        <v/>
      </c>
      <c r="V352" s="20" t="str">
        <f>IF(
   T_Channel[[#This Row],[Check]]&lt;&gt;"OK",
   "",
   T_Channel[[#This Row],[LogFolder]] &amp; "\" &amp; T_Channel[[#This Row],[LogFile]]
)</f>
        <v/>
      </c>
      <c r="W352" s="20" t="str">
        <f>IF(
   T_Channel[[#This Row],[Safekeeping of logs]]="",
   "",
   VLOOKUP(T_Channel[[#This Row],[Safekeeping of logs]],T_List_LogMode[],2,FALSE)
)</f>
        <v/>
      </c>
      <c r="X352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353" spans="2:24" x14ac:dyDescent="0.45">
      <c r="B353" s="7"/>
      <c r="C353" s="7"/>
      <c r="D353" s="7"/>
      <c r="E353" s="7"/>
      <c r="F353" s="6"/>
      <c r="G353" s="6"/>
      <c r="H353" s="6"/>
      <c r="I353" s="6"/>
      <c r="J353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353" s="21"/>
      <c r="L353" s="7"/>
      <c r="M353" s="41"/>
      <c r="N353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353" s="26" t="str">
        <f>IF(
   T_Channel[[#This Row],[ProviderName]]="",
   "",
   COUNTIF($N$12:$N$9982,T_Channel[[#This Row],[ProviderName]])
)</f>
        <v/>
      </c>
      <c r="P353" s="26" t="str">
        <f>IF(
   T_Channel[[#This Row],[Check]]&lt;&gt;"OK",
   "",
   IF(
      T_Channel[[#This Row],[Query]]="",
      "Empty",
      "Defined"
   )
)</f>
        <v/>
      </c>
      <c r="Q353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353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353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35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353" s="20" t="str">
        <f>IF(
   T_Channel[[#This Row],[Check]]&lt;&gt;"OK",
   "",
   T_Channel[[#This Row],[ChannelSymbol]] &amp; ".evtx"
)</f>
        <v/>
      </c>
      <c r="V353" s="20" t="str">
        <f>IF(
   T_Channel[[#This Row],[Check]]&lt;&gt;"OK",
   "",
   T_Channel[[#This Row],[LogFolder]] &amp; "\" &amp; T_Channel[[#This Row],[LogFile]]
)</f>
        <v/>
      </c>
      <c r="W353" s="20" t="str">
        <f>IF(
   T_Channel[[#This Row],[Safekeeping of logs]]="",
   "",
   VLOOKUP(T_Channel[[#This Row],[Safekeeping of logs]],T_List_LogMode[],2,FALSE)
)</f>
        <v/>
      </c>
      <c r="X353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354" spans="2:24" x14ac:dyDescent="0.45">
      <c r="B354" s="7"/>
      <c r="C354" s="7"/>
      <c r="D354" s="7"/>
      <c r="E354" s="7"/>
      <c r="F354" s="6"/>
      <c r="G354" s="6"/>
      <c r="H354" s="6"/>
      <c r="I354" s="6"/>
      <c r="J354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354" s="21"/>
      <c r="L354" s="7"/>
      <c r="M354" s="41"/>
      <c r="N354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354" s="26" t="str">
        <f>IF(
   T_Channel[[#This Row],[ProviderName]]="",
   "",
   COUNTIF($N$12:$N$9982,T_Channel[[#This Row],[ProviderName]])
)</f>
        <v/>
      </c>
      <c r="P354" s="26" t="str">
        <f>IF(
   T_Channel[[#This Row],[Check]]&lt;&gt;"OK",
   "",
   IF(
      T_Channel[[#This Row],[Query]]="",
      "Empty",
      "Defined"
   )
)</f>
        <v/>
      </c>
      <c r="Q354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354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354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35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354" s="20" t="str">
        <f>IF(
   T_Channel[[#This Row],[Check]]&lt;&gt;"OK",
   "",
   T_Channel[[#This Row],[ChannelSymbol]] &amp; ".evtx"
)</f>
        <v/>
      </c>
      <c r="V354" s="20" t="str">
        <f>IF(
   T_Channel[[#This Row],[Check]]&lt;&gt;"OK",
   "",
   T_Channel[[#This Row],[LogFolder]] &amp; "\" &amp; T_Channel[[#This Row],[LogFile]]
)</f>
        <v/>
      </c>
      <c r="W354" s="20" t="str">
        <f>IF(
   T_Channel[[#This Row],[Safekeeping of logs]]="",
   "",
   VLOOKUP(T_Channel[[#This Row],[Safekeeping of logs]],T_List_LogMode[],2,FALSE)
)</f>
        <v/>
      </c>
      <c r="X354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355" spans="2:24" x14ac:dyDescent="0.45">
      <c r="B355" s="5"/>
      <c r="C355" s="5"/>
      <c r="D355" s="5"/>
      <c r="E355" s="5"/>
      <c r="F355" s="6"/>
      <c r="G355" s="6"/>
      <c r="H355" s="6"/>
      <c r="I355" s="6"/>
      <c r="J355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355" s="13"/>
      <c r="L355" s="5"/>
      <c r="M355" s="41"/>
      <c r="N355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355" s="26" t="str">
        <f>IF(
   T_Channel[[#This Row],[ProviderName]]="",
   "",
   COUNTIF($N$12:$N$9982,T_Channel[[#This Row],[ProviderName]])
)</f>
        <v/>
      </c>
      <c r="P355" s="26" t="str">
        <f>IF(
   T_Channel[[#This Row],[Check]]&lt;&gt;"OK",
   "",
   IF(
      T_Channel[[#This Row],[Query]]="",
      "Empty",
      "Defined"
   )
)</f>
        <v/>
      </c>
      <c r="Q355" s="49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355" s="19" t="str">
        <f>IF(
   T_Channel[[#This Row],[Query]]="",
   "",
   LEFT(SUBSTITUTE(T_Channel[[#This Row],[Query]],"&lt;Select Path=""","",1),FIND("""",SUBSTITUTE(T_Channel[[#This Row],[Query]],"&lt;Select Path=""","",1))-1)
)</f>
        <v/>
      </c>
      <c r="S355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35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355" s="20" t="str">
        <f>IF(
   T_Channel[[#This Row],[Check]]&lt;&gt;"OK",
   "",
   T_Channel[[#This Row],[ChannelSymbol]] &amp; ".evtx"
)</f>
        <v/>
      </c>
      <c r="V355" s="20" t="str">
        <f>IF(
   T_Channel[[#This Row],[Check]]&lt;&gt;"OK",
   "",
   T_Channel[[#This Row],[LogFolder]] &amp; "\" &amp; T_Channel[[#This Row],[LogFile]]
)</f>
        <v/>
      </c>
      <c r="W355" s="20" t="str">
        <f>IF(
   T_Channel[[#This Row],[Safekeeping of logs]]="",
   "",
   VLOOKUP(T_Channel[[#This Row],[Safekeeping of logs]],T_List_LogMode[],2,FALSE)
)</f>
        <v/>
      </c>
      <c r="X355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356" spans="2:24" x14ac:dyDescent="0.45">
      <c r="B356" s="7"/>
      <c r="C356" s="7"/>
      <c r="D356" s="7"/>
      <c r="E356" s="7"/>
      <c r="F356" s="6"/>
      <c r="G356" s="6"/>
      <c r="H356" s="6"/>
      <c r="I356" s="6"/>
      <c r="J356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356" s="21"/>
      <c r="L356" s="7"/>
      <c r="M356" s="41"/>
      <c r="N356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356" s="26" t="str">
        <f>IF(
   T_Channel[[#This Row],[ProviderName]]="",
   "",
   COUNTIF($N$12:$N$9982,T_Channel[[#This Row],[ProviderName]])
)</f>
        <v/>
      </c>
      <c r="P356" s="26" t="str">
        <f>IF(
   T_Channel[[#This Row],[Check]]&lt;&gt;"OK",
   "",
   IF(
      T_Channel[[#This Row],[Query]]="",
      "Empty",
      "Defined"
   )
)</f>
        <v/>
      </c>
      <c r="Q356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356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356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35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356" s="20" t="str">
        <f>IF(
   T_Channel[[#This Row],[Check]]&lt;&gt;"OK",
   "",
   T_Channel[[#This Row],[ChannelSymbol]] &amp; ".evtx"
)</f>
        <v/>
      </c>
      <c r="V356" s="20" t="str">
        <f>IF(
   T_Channel[[#This Row],[Check]]&lt;&gt;"OK",
   "",
   T_Channel[[#This Row],[LogFolder]] &amp; "\" &amp; T_Channel[[#This Row],[LogFile]]
)</f>
        <v/>
      </c>
      <c r="W356" s="20" t="str">
        <f>IF(
   T_Channel[[#This Row],[Safekeeping of logs]]="",
   "",
   VLOOKUP(T_Channel[[#This Row],[Safekeeping of logs]],T_List_LogMode[],2,FALSE)
)</f>
        <v/>
      </c>
      <c r="X356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357" spans="2:24" x14ac:dyDescent="0.45">
      <c r="B357" s="7"/>
      <c r="C357" s="7"/>
      <c r="D357" s="7"/>
      <c r="E357" s="7"/>
      <c r="F357" s="6"/>
      <c r="G357" s="6"/>
      <c r="H357" s="6"/>
      <c r="I357" s="6"/>
      <c r="J357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357" s="21"/>
      <c r="L357" s="7"/>
      <c r="M357" s="41"/>
      <c r="N357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357" s="26" t="str">
        <f>IF(
   T_Channel[[#This Row],[ProviderName]]="",
   "",
   COUNTIF($N$12:$N$9982,T_Channel[[#This Row],[ProviderName]])
)</f>
        <v/>
      </c>
      <c r="P357" s="26" t="str">
        <f>IF(
   T_Channel[[#This Row],[Check]]&lt;&gt;"OK",
   "",
   IF(
      T_Channel[[#This Row],[Query]]="",
      "Empty",
      "Defined"
   )
)</f>
        <v/>
      </c>
      <c r="Q357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357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357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35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357" s="20" t="str">
        <f>IF(
   T_Channel[[#This Row],[Check]]&lt;&gt;"OK",
   "",
   T_Channel[[#This Row],[ChannelSymbol]] &amp; ".evtx"
)</f>
        <v/>
      </c>
      <c r="V357" s="20" t="str">
        <f>IF(
   T_Channel[[#This Row],[Check]]&lt;&gt;"OK",
   "",
   T_Channel[[#This Row],[LogFolder]] &amp; "\" &amp; T_Channel[[#This Row],[LogFile]]
)</f>
        <v/>
      </c>
      <c r="W357" s="20" t="str">
        <f>IF(
   T_Channel[[#This Row],[Safekeeping of logs]]="",
   "",
   VLOOKUP(T_Channel[[#This Row],[Safekeeping of logs]],T_List_LogMode[],2,FALSE)
)</f>
        <v/>
      </c>
      <c r="X357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358" spans="2:24" x14ac:dyDescent="0.45">
      <c r="B358" s="7"/>
      <c r="C358" s="7"/>
      <c r="D358" s="7"/>
      <c r="E358" s="7"/>
      <c r="F358" s="6"/>
      <c r="G358" s="6"/>
      <c r="H358" s="6"/>
      <c r="I358" s="6"/>
      <c r="J358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358" s="21"/>
      <c r="L358" s="7"/>
      <c r="M358" s="41"/>
      <c r="N358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358" s="26" t="str">
        <f>IF(
   T_Channel[[#This Row],[ProviderName]]="",
   "",
   COUNTIF($N$12:$N$9982,T_Channel[[#This Row],[ProviderName]])
)</f>
        <v/>
      </c>
      <c r="P358" s="26" t="str">
        <f>IF(
   T_Channel[[#This Row],[Check]]&lt;&gt;"OK",
   "",
   IF(
      T_Channel[[#This Row],[Query]]="",
      "Empty",
      "Defined"
   )
)</f>
        <v/>
      </c>
      <c r="Q358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358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358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35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358" s="20" t="str">
        <f>IF(
   T_Channel[[#This Row],[Check]]&lt;&gt;"OK",
   "",
   T_Channel[[#This Row],[ChannelSymbol]] &amp; ".evtx"
)</f>
        <v/>
      </c>
      <c r="V358" s="20" t="str">
        <f>IF(
   T_Channel[[#This Row],[Check]]&lt;&gt;"OK",
   "",
   T_Channel[[#This Row],[LogFolder]] &amp; "\" &amp; T_Channel[[#This Row],[LogFile]]
)</f>
        <v/>
      </c>
      <c r="W358" s="20" t="str">
        <f>IF(
   T_Channel[[#This Row],[Safekeeping of logs]]="",
   "",
   VLOOKUP(T_Channel[[#This Row],[Safekeeping of logs]],T_List_LogMode[],2,FALSE)
)</f>
        <v/>
      </c>
      <c r="X358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359" spans="2:24" x14ac:dyDescent="0.45">
      <c r="B359" s="7"/>
      <c r="C359" s="7"/>
      <c r="D359" s="7"/>
      <c r="E359" s="7"/>
      <c r="F359" s="6"/>
      <c r="G359" s="6"/>
      <c r="H359" s="6"/>
      <c r="I359" s="6"/>
      <c r="J359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359" s="21"/>
      <c r="L359" s="7"/>
      <c r="M359" s="41"/>
      <c r="N359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359" s="26" t="str">
        <f>IF(
   T_Channel[[#This Row],[ProviderName]]="",
   "",
   COUNTIF($N$12:$N$9982,T_Channel[[#This Row],[ProviderName]])
)</f>
        <v/>
      </c>
      <c r="P359" s="26" t="str">
        <f>IF(
   T_Channel[[#This Row],[Check]]&lt;&gt;"OK",
   "",
   IF(
      T_Channel[[#This Row],[Query]]="",
      "Empty",
      "Defined"
   )
)</f>
        <v/>
      </c>
      <c r="Q359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359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359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35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359" s="20" t="str">
        <f>IF(
   T_Channel[[#This Row],[Check]]&lt;&gt;"OK",
   "",
   T_Channel[[#This Row],[ChannelSymbol]] &amp; ".evtx"
)</f>
        <v/>
      </c>
      <c r="V359" s="20" t="str">
        <f>IF(
   T_Channel[[#This Row],[Check]]&lt;&gt;"OK",
   "",
   T_Channel[[#This Row],[LogFolder]] &amp; "\" &amp; T_Channel[[#This Row],[LogFile]]
)</f>
        <v/>
      </c>
      <c r="W359" s="20" t="str">
        <f>IF(
   T_Channel[[#This Row],[Safekeeping of logs]]="",
   "",
   VLOOKUP(T_Channel[[#This Row],[Safekeeping of logs]],T_List_LogMode[],2,FALSE)
)</f>
        <v/>
      </c>
      <c r="X359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360" spans="2:24" x14ac:dyDescent="0.45">
      <c r="B360" s="7"/>
      <c r="C360" s="7"/>
      <c r="D360" s="7"/>
      <c r="E360" s="7"/>
      <c r="F360" s="6"/>
      <c r="G360" s="6"/>
      <c r="H360" s="6"/>
      <c r="I360" s="6"/>
      <c r="J360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360" s="21"/>
      <c r="L360" s="7"/>
      <c r="M360" s="41"/>
      <c r="N360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360" s="26" t="str">
        <f>IF(
   T_Channel[[#This Row],[ProviderName]]="",
   "",
   COUNTIF($N$12:$N$9982,T_Channel[[#This Row],[ProviderName]])
)</f>
        <v/>
      </c>
      <c r="P360" s="26" t="str">
        <f>IF(
   T_Channel[[#This Row],[Check]]&lt;&gt;"OK",
   "",
   IF(
      T_Channel[[#This Row],[Query]]="",
      "Empty",
      "Defined"
   )
)</f>
        <v/>
      </c>
      <c r="Q360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360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360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36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360" s="20" t="str">
        <f>IF(
   T_Channel[[#This Row],[Check]]&lt;&gt;"OK",
   "",
   T_Channel[[#This Row],[ChannelSymbol]] &amp; ".evtx"
)</f>
        <v/>
      </c>
      <c r="V360" s="20" t="str">
        <f>IF(
   T_Channel[[#This Row],[Check]]&lt;&gt;"OK",
   "",
   T_Channel[[#This Row],[LogFolder]] &amp; "\" &amp; T_Channel[[#This Row],[LogFile]]
)</f>
        <v/>
      </c>
      <c r="W360" s="20" t="str">
        <f>IF(
   T_Channel[[#This Row],[Safekeeping of logs]]="",
   "",
   VLOOKUP(T_Channel[[#This Row],[Safekeeping of logs]],T_List_LogMode[],2,FALSE)
)</f>
        <v/>
      </c>
      <c r="X360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361" spans="2:24" x14ac:dyDescent="0.45">
      <c r="B361" s="7"/>
      <c r="C361" s="7"/>
      <c r="D361" s="7"/>
      <c r="E361" s="7"/>
      <c r="F361" s="6"/>
      <c r="G361" s="6"/>
      <c r="H361" s="6"/>
      <c r="I361" s="6"/>
      <c r="J361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361" s="21"/>
      <c r="L361" s="7"/>
      <c r="M361" s="41"/>
      <c r="N361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361" s="26" t="str">
        <f>IF(
   T_Channel[[#This Row],[ProviderName]]="",
   "",
   COUNTIF($N$12:$N$9982,T_Channel[[#This Row],[ProviderName]])
)</f>
        <v/>
      </c>
      <c r="P361" s="26" t="str">
        <f>IF(
   T_Channel[[#This Row],[Check]]&lt;&gt;"OK",
   "",
   IF(
      T_Channel[[#This Row],[Query]]="",
      "Empty",
      "Defined"
   )
)</f>
        <v/>
      </c>
      <c r="Q361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361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361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36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361" s="20" t="str">
        <f>IF(
   T_Channel[[#This Row],[Check]]&lt;&gt;"OK",
   "",
   T_Channel[[#This Row],[ChannelSymbol]] &amp; ".evtx"
)</f>
        <v/>
      </c>
      <c r="V361" s="20" t="str">
        <f>IF(
   T_Channel[[#This Row],[Check]]&lt;&gt;"OK",
   "",
   T_Channel[[#This Row],[LogFolder]] &amp; "\" &amp; T_Channel[[#This Row],[LogFile]]
)</f>
        <v/>
      </c>
      <c r="W361" s="20" t="str">
        <f>IF(
   T_Channel[[#This Row],[Safekeeping of logs]]="",
   "",
   VLOOKUP(T_Channel[[#This Row],[Safekeeping of logs]],T_List_LogMode[],2,FALSE)
)</f>
        <v/>
      </c>
      <c r="X361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362" spans="2:24" x14ac:dyDescent="0.45">
      <c r="B362" s="7"/>
      <c r="C362" s="7"/>
      <c r="D362" s="7"/>
      <c r="E362" s="7"/>
      <c r="F362" s="6"/>
      <c r="G362" s="6"/>
      <c r="H362" s="6"/>
      <c r="I362" s="6"/>
      <c r="J362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362" s="21"/>
      <c r="L362" s="7"/>
      <c r="M362" s="41"/>
      <c r="N362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362" s="26" t="str">
        <f>IF(
   T_Channel[[#This Row],[ProviderName]]="",
   "",
   COUNTIF($N$12:$N$9982,T_Channel[[#This Row],[ProviderName]])
)</f>
        <v/>
      </c>
      <c r="P362" s="26" t="str">
        <f>IF(
   T_Channel[[#This Row],[Check]]&lt;&gt;"OK",
   "",
   IF(
      T_Channel[[#This Row],[Query]]="",
      "Empty",
      "Defined"
   )
)</f>
        <v/>
      </c>
      <c r="Q362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362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362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36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362" s="20" t="str">
        <f>IF(
   T_Channel[[#This Row],[Check]]&lt;&gt;"OK",
   "",
   T_Channel[[#This Row],[ChannelSymbol]] &amp; ".evtx"
)</f>
        <v/>
      </c>
      <c r="V362" s="20" t="str">
        <f>IF(
   T_Channel[[#This Row],[Check]]&lt;&gt;"OK",
   "",
   T_Channel[[#This Row],[LogFolder]] &amp; "\" &amp; T_Channel[[#This Row],[LogFile]]
)</f>
        <v/>
      </c>
      <c r="W362" s="20" t="str">
        <f>IF(
   T_Channel[[#This Row],[Safekeeping of logs]]="",
   "",
   VLOOKUP(T_Channel[[#This Row],[Safekeeping of logs]],T_List_LogMode[],2,FALSE)
)</f>
        <v/>
      </c>
      <c r="X362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363" spans="2:24" x14ac:dyDescent="0.45">
      <c r="B363" s="7"/>
      <c r="C363" s="7"/>
      <c r="D363" s="7"/>
      <c r="E363" s="7"/>
      <c r="F363" s="6"/>
      <c r="G363" s="6"/>
      <c r="H363" s="6"/>
      <c r="I363" s="6"/>
      <c r="J363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363" s="21"/>
      <c r="L363" s="7"/>
      <c r="M363" s="41"/>
      <c r="N363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363" s="26" t="str">
        <f>IF(
   T_Channel[[#This Row],[ProviderName]]="",
   "",
   COUNTIF($N$12:$N$9982,T_Channel[[#This Row],[ProviderName]])
)</f>
        <v/>
      </c>
      <c r="P363" s="26" t="str">
        <f>IF(
   T_Channel[[#This Row],[Check]]&lt;&gt;"OK",
   "",
   IF(
      T_Channel[[#This Row],[Query]]="",
      "Empty",
      "Defined"
   )
)</f>
        <v/>
      </c>
      <c r="Q363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363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363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36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363" s="20" t="str">
        <f>IF(
   T_Channel[[#This Row],[Check]]&lt;&gt;"OK",
   "",
   T_Channel[[#This Row],[ChannelSymbol]] &amp; ".evtx"
)</f>
        <v/>
      </c>
      <c r="V363" s="20" t="str">
        <f>IF(
   T_Channel[[#This Row],[Check]]&lt;&gt;"OK",
   "",
   T_Channel[[#This Row],[LogFolder]] &amp; "\" &amp; T_Channel[[#This Row],[LogFile]]
)</f>
        <v/>
      </c>
      <c r="W363" s="20" t="str">
        <f>IF(
   T_Channel[[#This Row],[Safekeeping of logs]]="",
   "",
   VLOOKUP(T_Channel[[#This Row],[Safekeeping of logs]],T_List_LogMode[],2,FALSE)
)</f>
        <v/>
      </c>
      <c r="X363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364" spans="2:24" x14ac:dyDescent="0.45">
      <c r="B364" s="7"/>
      <c r="C364" s="7"/>
      <c r="D364" s="7"/>
      <c r="E364" s="7"/>
      <c r="F364" s="6"/>
      <c r="G364" s="6"/>
      <c r="H364" s="6"/>
      <c r="I364" s="6"/>
      <c r="J364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364" s="21"/>
      <c r="L364" s="7"/>
      <c r="M364" s="41"/>
      <c r="N364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364" s="26" t="str">
        <f>IF(
   T_Channel[[#This Row],[ProviderName]]="",
   "",
   COUNTIF($N$12:$N$9982,T_Channel[[#This Row],[ProviderName]])
)</f>
        <v/>
      </c>
      <c r="P364" s="26" t="str">
        <f>IF(
   T_Channel[[#This Row],[Check]]&lt;&gt;"OK",
   "",
   IF(
      T_Channel[[#This Row],[Query]]="",
      "Empty",
      "Defined"
   )
)</f>
        <v/>
      </c>
      <c r="Q364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364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364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36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364" s="20" t="str">
        <f>IF(
   T_Channel[[#This Row],[Check]]&lt;&gt;"OK",
   "",
   T_Channel[[#This Row],[ChannelSymbol]] &amp; ".evtx"
)</f>
        <v/>
      </c>
      <c r="V364" s="20" t="str">
        <f>IF(
   T_Channel[[#This Row],[Check]]&lt;&gt;"OK",
   "",
   T_Channel[[#This Row],[LogFolder]] &amp; "\" &amp; T_Channel[[#This Row],[LogFile]]
)</f>
        <v/>
      </c>
      <c r="W364" s="20" t="str">
        <f>IF(
   T_Channel[[#This Row],[Safekeeping of logs]]="",
   "",
   VLOOKUP(T_Channel[[#This Row],[Safekeeping of logs]],T_List_LogMode[],2,FALSE)
)</f>
        <v/>
      </c>
      <c r="X364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365" spans="2:24" x14ac:dyDescent="0.45">
      <c r="B365" s="7"/>
      <c r="C365" s="7"/>
      <c r="D365" s="7"/>
      <c r="E365" s="7"/>
      <c r="F365" s="6"/>
      <c r="G365" s="6"/>
      <c r="H365" s="6"/>
      <c r="I365" s="6"/>
      <c r="J365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365" s="21"/>
      <c r="L365" s="7"/>
      <c r="M365" s="41"/>
      <c r="N365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365" s="26" t="str">
        <f>IF(
   T_Channel[[#This Row],[ProviderName]]="",
   "",
   COUNTIF($N$12:$N$9982,T_Channel[[#This Row],[ProviderName]])
)</f>
        <v/>
      </c>
      <c r="P365" s="26" t="str">
        <f>IF(
   T_Channel[[#This Row],[Check]]&lt;&gt;"OK",
   "",
   IF(
      T_Channel[[#This Row],[Query]]="",
      "Empty",
      "Defined"
   )
)</f>
        <v/>
      </c>
      <c r="Q365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365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365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36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365" s="20" t="str">
        <f>IF(
   T_Channel[[#This Row],[Check]]&lt;&gt;"OK",
   "",
   T_Channel[[#This Row],[ChannelSymbol]] &amp; ".evtx"
)</f>
        <v/>
      </c>
      <c r="V365" s="20" t="str">
        <f>IF(
   T_Channel[[#This Row],[Check]]&lt;&gt;"OK",
   "",
   T_Channel[[#This Row],[LogFolder]] &amp; "\" &amp; T_Channel[[#This Row],[LogFile]]
)</f>
        <v/>
      </c>
      <c r="W365" s="20" t="str">
        <f>IF(
   T_Channel[[#This Row],[Safekeeping of logs]]="",
   "",
   VLOOKUP(T_Channel[[#This Row],[Safekeeping of logs]],T_List_LogMode[],2,FALSE)
)</f>
        <v/>
      </c>
      <c r="X365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366" spans="2:24" x14ac:dyDescent="0.45">
      <c r="B366" s="7"/>
      <c r="C366" s="7"/>
      <c r="D366" s="7"/>
      <c r="E366" s="7"/>
      <c r="F366" s="6"/>
      <c r="G366" s="6"/>
      <c r="H366" s="6"/>
      <c r="I366" s="6"/>
      <c r="J366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366" s="21"/>
      <c r="L366" s="7"/>
      <c r="M366" s="41"/>
      <c r="N366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366" s="26" t="str">
        <f>IF(
   T_Channel[[#This Row],[ProviderName]]="",
   "",
   COUNTIF($N$12:$N$9982,T_Channel[[#This Row],[ProviderName]])
)</f>
        <v/>
      </c>
      <c r="P366" s="26" t="str">
        <f>IF(
   T_Channel[[#This Row],[Check]]&lt;&gt;"OK",
   "",
   IF(
      T_Channel[[#This Row],[Query]]="",
      "Empty",
      "Defined"
   )
)</f>
        <v/>
      </c>
      <c r="Q366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366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366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36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366" s="20" t="str">
        <f>IF(
   T_Channel[[#This Row],[Check]]&lt;&gt;"OK",
   "",
   T_Channel[[#This Row],[ChannelSymbol]] &amp; ".evtx"
)</f>
        <v/>
      </c>
      <c r="V366" s="20" t="str">
        <f>IF(
   T_Channel[[#This Row],[Check]]&lt;&gt;"OK",
   "",
   T_Channel[[#This Row],[LogFolder]] &amp; "\" &amp; T_Channel[[#This Row],[LogFile]]
)</f>
        <v/>
      </c>
      <c r="W366" s="20" t="str">
        <f>IF(
   T_Channel[[#This Row],[Safekeeping of logs]]="",
   "",
   VLOOKUP(T_Channel[[#This Row],[Safekeeping of logs]],T_List_LogMode[],2,FALSE)
)</f>
        <v/>
      </c>
      <c r="X366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367" spans="2:24" x14ac:dyDescent="0.45">
      <c r="B367" s="7"/>
      <c r="C367" s="7"/>
      <c r="D367" s="7"/>
      <c r="E367" s="7"/>
      <c r="F367" s="6"/>
      <c r="G367" s="6"/>
      <c r="H367" s="6"/>
      <c r="I367" s="6"/>
      <c r="J367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367" s="21"/>
      <c r="L367" s="7"/>
      <c r="M367" s="41"/>
      <c r="N367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367" s="26" t="str">
        <f>IF(
   T_Channel[[#This Row],[ProviderName]]="",
   "",
   COUNTIF($N$12:$N$9982,T_Channel[[#This Row],[ProviderName]])
)</f>
        <v/>
      </c>
      <c r="P367" s="26" t="str">
        <f>IF(
   T_Channel[[#This Row],[Check]]&lt;&gt;"OK",
   "",
   IF(
      T_Channel[[#This Row],[Query]]="",
      "Empty",
      "Defined"
   )
)</f>
        <v/>
      </c>
      <c r="Q367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367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367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36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367" s="20" t="str">
        <f>IF(
   T_Channel[[#This Row],[Check]]&lt;&gt;"OK",
   "",
   T_Channel[[#This Row],[ChannelSymbol]] &amp; ".evtx"
)</f>
        <v/>
      </c>
      <c r="V367" s="20" t="str">
        <f>IF(
   T_Channel[[#This Row],[Check]]&lt;&gt;"OK",
   "",
   T_Channel[[#This Row],[LogFolder]] &amp; "\" &amp; T_Channel[[#This Row],[LogFile]]
)</f>
        <v/>
      </c>
      <c r="W367" s="20" t="str">
        <f>IF(
   T_Channel[[#This Row],[Safekeeping of logs]]="",
   "",
   VLOOKUP(T_Channel[[#This Row],[Safekeeping of logs]],T_List_LogMode[],2,FALSE)
)</f>
        <v/>
      </c>
      <c r="X367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368" spans="2:24" x14ac:dyDescent="0.45">
      <c r="B368" s="7"/>
      <c r="C368" s="7"/>
      <c r="D368" s="7"/>
      <c r="E368" s="7"/>
      <c r="F368" s="6"/>
      <c r="G368" s="6"/>
      <c r="H368" s="6"/>
      <c r="I368" s="6"/>
      <c r="J368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368" s="21"/>
      <c r="L368" s="7"/>
      <c r="M368" s="41"/>
      <c r="N368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368" s="26" t="str">
        <f>IF(
   T_Channel[[#This Row],[ProviderName]]="",
   "",
   COUNTIF($N$12:$N$9982,T_Channel[[#This Row],[ProviderName]])
)</f>
        <v/>
      </c>
      <c r="P368" s="26" t="str">
        <f>IF(
   T_Channel[[#This Row],[Check]]&lt;&gt;"OK",
   "",
   IF(
      T_Channel[[#This Row],[Query]]="",
      "Empty",
      "Defined"
   )
)</f>
        <v/>
      </c>
      <c r="Q368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368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368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36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368" s="20" t="str">
        <f>IF(
   T_Channel[[#This Row],[Check]]&lt;&gt;"OK",
   "",
   T_Channel[[#This Row],[ChannelSymbol]] &amp; ".evtx"
)</f>
        <v/>
      </c>
      <c r="V368" s="20" t="str">
        <f>IF(
   T_Channel[[#This Row],[Check]]&lt;&gt;"OK",
   "",
   T_Channel[[#This Row],[LogFolder]] &amp; "\" &amp; T_Channel[[#This Row],[LogFile]]
)</f>
        <v/>
      </c>
      <c r="W368" s="20" t="str">
        <f>IF(
   T_Channel[[#This Row],[Safekeeping of logs]]="",
   "",
   VLOOKUP(T_Channel[[#This Row],[Safekeeping of logs]],T_List_LogMode[],2,FALSE)
)</f>
        <v/>
      </c>
      <c r="X368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369" spans="2:24" x14ac:dyDescent="0.45">
      <c r="B369" s="7"/>
      <c r="C369" s="7"/>
      <c r="D369" s="7"/>
      <c r="E369" s="7"/>
      <c r="F369" s="6"/>
      <c r="G369" s="6"/>
      <c r="H369" s="6"/>
      <c r="I369" s="6"/>
      <c r="J369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369" s="21"/>
      <c r="L369" s="7"/>
      <c r="M369" s="41"/>
      <c r="N369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369" s="26" t="str">
        <f>IF(
   T_Channel[[#This Row],[ProviderName]]="",
   "",
   COUNTIF($N$12:$N$9982,T_Channel[[#This Row],[ProviderName]])
)</f>
        <v/>
      </c>
      <c r="P369" s="26" t="str">
        <f>IF(
   T_Channel[[#This Row],[Check]]&lt;&gt;"OK",
   "",
   IF(
      T_Channel[[#This Row],[Query]]="",
      "Empty",
      "Defined"
   )
)</f>
        <v/>
      </c>
      <c r="Q369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369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369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36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369" s="20" t="str">
        <f>IF(
   T_Channel[[#This Row],[Check]]&lt;&gt;"OK",
   "",
   T_Channel[[#This Row],[ChannelSymbol]] &amp; ".evtx"
)</f>
        <v/>
      </c>
      <c r="V369" s="20" t="str">
        <f>IF(
   T_Channel[[#This Row],[Check]]&lt;&gt;"OK",
   "",
   T_Channel[[#This Row],[LogFolder]] &amp; "\" &amp; T_Channel[[#This Row],[LogFile]]
)</f>
        <v/>
      </c>
      <c r="W369" s="20" t="str">
        <f>IF(
   T_Channel[[#This Row],[Safekeeping of logs]]="",
   "",
   VLOOKUP(T_Channel[[#This Row],[Safekeeping of logs]],T_List_LogMode[],2,FALSE)
)</f>
        <v/>
      </c>
      <c r="X369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370" spans="2:24" x14ac:dyDescent="0.45">
      <c r="B370" s="7"/>
      <c r="C370" s="7"/>
      <c r="D370" s="7"/>
      <c r="E370" s="7"/>
      <c r="F370" s="6"/>
      <c r="G370" s="6"/>
      <c r="H370" s="6"/>
      <c r="I370" s="6"/>
      <c r="J370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370" s="21"/>
      <c r="L370" s="7"/>
      <c r="M370" s="41"/>
      <c r="N370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370" s="26" t="str">
        <f>IF(
   T_Channel[[#This Row],[ProviderName]]="",
   "",
   COUNTIF($N$12:$N$9982,T_Channel[[#This Row],[ProviderName]])
)</f>
        <v/>
      </c>
      <c r="P370" s="26" t="str">
        <f>IF(
   T_Channel[[#This Row],[Check]]&lt;&gt;"OK",
   "",
   IF(
      T_Channel[[#This Row],[Query]]="",
      "Empty",
      "Defined"
   )
)</f>
        <v/>
      </c>
      <c r="Q370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370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370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37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370" s="20" t="str">
        <f>IF(
   T_Channel[[#This Row],[Check]]&lt;&gt;"OK",
   "",
   T_Channel[[#This Row],[ChannelSymbol]] &amp; ".evtx"
)</f>
        <v/>
      </c>
      <c r="V370" s="20" t="str">
        <f>IF(
   T_Channel[[#This Row],[Check]]&lt;&gt;"OK",
   "",
   T_Channel[[#This Row],[LogFolder]] &amp; "\" &amp; T_Channel[[#This Row],[LogFile]]
)</f>
        <v/>
      </c>
      <c r="W370" s="20" t="str">
        <f>IF(
   T_Channel[[#This Row],[Safekeeping of logs]]="",
   "",
   VLOOKUP(T_Channel[[#This Row],[Safekeeping of logs]],T_List_LogMode[],2,FALSE)
)</f>
        <v/>
      </c>
      <c r="X370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371" spans="2:24" x14ac:dyDescent="0.45">
      <c r="B371" s="7"/>
      <c r="C371" s="7"/>
      <c r="D371" s="7"/>
      <c r="E371" s="7"/>
      <c r="F371" s="6"/>
      <c r="G371" s="6"/>
      <c r="H371" s="6"/>
      <c r="I371" s="6"/>
      <c r="J371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371" s="21"/>
      <c r="L371" s="7"/>
      <c r="M371" s="41"/>
      <c r="N371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371" s="26" t="str">
        <f>IF(
   T_Channel[[#This Row],[ProviderName]]="",
   "",
   COUNTIF($N$12:$N$9982,T_Channel[[#This Row],[ProviderName]])
)</f>
        <v/>
      </c>
      <c r="P371" s="26" t="str">
        <f>IF(
   T_Channel[[#This Row],[Check]]&lt;&gt;"OK",
   "",
   IF(
      T_Channel[[#This Row],[Query]]="",
      "Empty",
      "Defined"
   )
)</f>
        <v/>
      </c>
      <c r="Q371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371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371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37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371" s="20" t="str">
        <f>IF(
   T_Channel[[#This Row],[Check]]&lt;&gt;"OK",
   "",
   T_Channel[[#This Row],[ChannelSymbol]] &amp; ".evtx"
)</f>
        <v/>
      </c>
      <c r="V371" s="20" t="str">
        <f>IF(
   T_Channel[[#This Row],[Check]]&lt;&gt;"OK",
   "",
   T_Channel[[#This Row],[LogFolder]] &amp; "\" &amp; T_Channel[[#This Row],[LogFile]]
)</f>
        <v/>
      </c>
      <c r="W371" s="20" t="str">
        <f>IF(
   T_Channel[[#This Row],[Safekeeping of logs]]="",
   "",
   VLOOKUP(T_Channel[[#This Row],[Safekeeping of logs]],T_List_LogMode[],2,FALSE)
)</f>
        <v/>
      </c>
      <c r="X371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372" spans="2:24" x14ac:dyDescent="0.45">
      <c r="B372" s="7"/>
      <c r="C372" s="7"/>
      <c r="D372" s="7"/>
      <c r="E372" s="7"/>
      <c r="F372" s="6"/>
      <c r="G372" s="6"/>
      <c r="H372" s="6"/>
      <c r="I372" s="6"/>
      <c r="J372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372" s="21"/>
      <c r="L372" s="7"/>
      <c r="M372" s="41"/>
      <c r="N372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372" s="26" t="str">
        <f>IF(
   T_Channel[[#This Row],[ProviderName]]="",
   "",
   COUNTIF($N$12:$N$9982,T_Channel[[#This Row],[ProviderName]])
)</f>
        <v/>
      </c>
      <c r="P372" s="26" t="str">
        <f>IF(
   T_Channel[[#This Row],[Check]]&lt;&gt;"OK",
   "",
   IF(
      T_Channel[[#This Row],[Query]]="",
      "Empty",
      "Defined"
   )
)</f>
        <v/>
      </c>
      <c r="Q372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372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372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37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372" s="20" t="str">
        <f>IF(
   T_Channel[[#This Row],[Check]]&lt;&gt;"OK",
   "",
   T_Channel[[#This Row],[ChannelSymbol]] &amp; ".evtx"
)</f>
        <v/>
      </c>
      <c r="V372" s="20" t="str">
        <f>IF(
   T_Channel[[#This Row],[Check]]&lt;&gt;"OK",
   "",
   T_Channel[[#This Row],[LogFolder]] &amp; "\" &amp; T_Channel[[#This Row],[LogFile]]
)</f>
        <v/>
      </c>
      <c r="W372" s="20" t="str">
        <f>IF(
   T_Channel[[#This Row],[Safekeeping of logs]]="",
   "",
   VLOOKUP(T_Channel[[#This Row],[Safekeeping of logs]],T_List_LogMode[],2,FALSE)
)</f>
        <v/>
      </c>
      <c r="X372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373" spans="2:24" x14ac:dyDescent="0.45">
      <c r="B373" s="7"/>
      <c r="C373" s="7"/>
      <c r="D373" s="7"/>
      <c r="E373" s="7"/>
      <c r="F373" s="6"/>
      <c r="G373" s="6"/>
      <c r="H373" s="6"/>
      <c r="I373" s="6"/>
      <c r="J373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373" s="21"/>
      <c r="L373" s="7"/>
      <c r="M373" s="41"/>
      <c r="N373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373" s="26" t="str">
        <f>IF(
   T_Channel[[#This Row],[ProviderName]]="",
   "",
   COUNTIF($N$12:$N$9982,T_Channel[[#This Row],[ProviderName]])
)</f>
        <v/>
      </c>
      <c r="P373" s="26" t="str">
        <f>IF(
   T_Channel[[#This Row],[Check]]&lt;&gt;"OK",
   "",
   IF(
      T_Channel[[#This Row],[Query]]="",
      "Empty",
      "Defined"
   )
)</f>
        <v/>
      </c>
      <c r="Q373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373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373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37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373" s="20" t="str">
        <f>IF(
   T_Channel[[#This Row],[Check]]&lt;&gt;"OK",
   "",
   T_Channel[[#This Row],[ChannelSymbol]] &amp; ".evtx"
)</f>
        <v/>
      </c>
      <c r="V373" s="20" t="str">
        <f>IF(
   T_Channel[[#This Row],[Check]]&lt;&gt;"OK",
   "",
   T_Channel[[#This Row],[LogFolder]] &amp; "\" &amp; T_Channel[[#This Row],[LogFile]]
)</f>
        <v/>
      </c>
      <c r="W373" s="20" t="str">
        <f>IF(
   T_Channel[[#This Row],[Safekeeping of logs]]="",
   "",
   VLOOKUP(T_Channel[[#This Row],[Safekeeping of logs]],T_List_LogMode[],2,FALSE)
)</f>
        <v/>
      </c>
      <c r="X373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374" spans="2:24" x14ac:dyDescent="0.45">
      <c r="B374" s="7"/>
      <c r="C374" s="7"/>
      <c r="D374" s="7"/>
      <c r="E374" s="7"/>
      <c r="F374" s="6"/>
      <c r="G374" s="6"/>
      <c r="H374" s="6"/>
      <c r="I374" s="6"/>
      <c r="J374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374" s="21"/>
      <c r="L374" s="7"/>
      <c r="M374" s="41"/>
      <c r="N374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374" s="26" t="str">
        <f>IF(
   T_Channel[[#This Row],[ProviderName]]="",
   "",
   COUNTIF($N$12:$N$9982,T_Channel[[#This Row],[ProviderName]])
)</f>
        <v/>
      </c>
      <c r="P374" s="26" t="str">
        <f>IF(
   T_Channel[[#This Row],[Check]]&lt;&gt;"OK",
   "",
   IF(
      T_Channel[[#This Row],[Query]]="",
      "Empty",
      "Defined"
   )
)</f>
        <v/>
      </c>
      <c r="Q374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374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374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37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374" s="20" t="str">
        <f>IF(
   T_Channel[[#This Row],[Check]]&lt;&gt;"OK",
   "",
   T_Channel[[#This Row],[ChannelSymbol]] &amp; ".evtx"
)</f>
        <v/>
      </c>
      <c r="V374" s="20" t="str">
        <f>IF(
   T_Channel[[#This Row],[Check]]&lt;&gt;"OK",
   "",
   T_Channel[[#This Row],[LogFolder]] &amp; "\" &amp; T_Channel[[#This Row],[LogFile]]
)</f>
        <v/>
      </c>
      <c r="W374" s="20" t="str">
        <f>IF(
   T_Channel[[#This Row],[Safekeeping of logs]]="",
   "",
   VLOOKUP(T_Channel[[#This Row],[Safekeeping of logs]],T_List_LogMode[],2,FALSE)
)</f>
        <v/>
      </c>
      <c r="X374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375" spans="2:24" x14ac:dyDescent="0.45">
      <c r="B375" s="7"/>
      <c r="C375" s="7"/>
      <c r="D375" s="7"/>
      <c r="E375" s="7"/>
      <c r="F375" s="6"/>
      <c r="G375" s="6"/>
      <c r="H375" s="6"/>
      <c r="I375" s="6"/>
      <c r="J375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375" s="21"/>
      <c r="L375" s="7"/>
      <c r="M375" s="41"/>
      <c r="N375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375" s="26" t="str">
        <f>IF(
   T_Channel[[#This Row],[ProviderName]]="",
   "",
   COUNTIF($N$12:$N$9982,T_Channel[[#This Row],[ProviderName]])
)</f>
        <v/>
      </c>
      <c r="P375" s="26" t="str">
        <f>IF(
   T_Channel[[#This Row],[Check]]&lt;&gt;"OK",
   "",
   IF(
      T_Channel[[#This Row],[Query]]="",
      "Empty",
      "Defined"
   )
)</f>
        <v/>
      </c>
      <c r="Q375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375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375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37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375" s="20" t="str">
        <f>IF(
   T_Channel[[#This Row],[Check]]&lt;&gt;"OK",
   "",
   T_Channel[[#This Row],[ChannelSymbol]] &amp; ".evtx"
)</f>
        <v/>
      </c>
      <c r="V375" s="20" t="str">
        <f>IF(
   T_Channel[[#This Row],[Check]]&lt;&gt;"OK",
   "",
   T_Channel[[#This Row],[LogFolder]] &amp; "\" &amp; T_Channel[[#This Row],[LogFile]]
)</f>
        <v/>
      </c>
      <c r="W375" s="20" t="str">
        <f>IF(
   T_Channel[[#This Row],[Safekeeping of logs]]="",
   "",
   VLOOKUP(T_Channel[[#This Row],[Safekeeping of logs]],T_List_LogMode[],2,FALSE)
)</f>
        <v/>
      </c>
      <c r="X375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376" spans="2:24" x14ac:dyDescent="0.45">
      <c r="B376" s="7"/>
      <c r="C376" s="7"/>
      <c r="D376" s="7"/>
      <c r="E376" s="7"/>
      <c r="F376" s="6"/>
      <c r="G376" s="6"/>
      <c r="H376" s="6"/>
      <c r="I376" s="6"/>
      <c r="J376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376" s="21"/>
      <c r="L376" s="7"/>
      <c r="M376" s="41"/>
      <c r="N376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376" s="26" t="str">
        <f>IF(
   T_Channel[[#This Row],[ProviderName]]="",
   "",
   COUNTIF($N$12:$N$9982,T_Channel[[#This Row],[ProviderName]])
)</f>
        <v/>
      </c>
      <c r="P376" s="26" t="str">
        <f>IF(
   T_Channel[[#This Row],[Check]]&lt;&gt;"OK",
   "",
   IF(
      T_Channel[[#This Row],[Query]]="",
      "Empty",
      "Defined"
   )
)</f>
        <v/>
      </c>
      <c r="Q376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376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376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37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376" s="20" t="str">
        <f>IF(
   T_Channel[[#This Row],[Check]]&lt;&gt;"OK",
   "",
   T_Channel[[#This Row],[ChannelSymbol]] &amp; ".evtx"
)</f>
        <v/>
      </c>
      <c r="V376" s="20" t="str">
        <f>IF(
   T_Channel[[#This Row],[Check]]&lt;&gt;"OK",
   "",
   T_Channel[[#This Row],[LogFolder]] &amp; "\" &amp; T_Channel[[#This Row],[LogFile]]
)</f>
        <v/>
      </c>
      <c r="W376" s="20" t="str">
        <f>IF(
   T_Channel[[#This Row],[Safekeeping of logs]]="",
   "",
   VLOOKUP(T_Channel[[#This Row],[Safekeeping of logs]],T_List_LogMode[],2,FALSE)
)</f>
        <v/>
      </c>
      <c r="X376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377" spans="2:24" x14ac:dyDescent="0.45">
      <c r="B377" s="7"/>
      <c r="C377" s="7"/>
      <c r="D377" s="7"/>
      <c r="E377" s="7"/>
      <c r="F377" s="6"/>
      <c r="G377" s="6"/>
      <c r="H377" s="6"/>
      <c r="I377" s="6"/>
      <c r="J377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377" s="21"/>
      <c r="L377" s="7"/>
      <c r="M377" s="41"/>
      <c r="N377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377" s="26" t="str">
        <f>IF(
   T_Channel[[#This Row],[ProviderName]]="",
   "",
   COUNTIF($N$12:$N$9982,T_Channel[[#This Row],[ProviderName]])
)</f>
        <v/>
      </c>
      <c r="P377" s="26" t="str">
        <f>IF(
   T_Channel[[#This Row],[Check]]&lt;&gt;"OK",
   "",
   IF(
      T_Channel[[#This Row],[Query]]="",
      "Empty",
      "Defined"
   )
)</f>
        <v/>
      </c>
      <c r="Q377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377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377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37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377" s="20" t="str">
        <f>IF(
   T_Channel[[#This Row],[Check]]&lt;&gt;"OK",
   "",
   T_Channel[[#This Row],[ChannelSymbol]] &amp; ".evtx"
)</f>
        <v/>
      </c>
      <c r="V377" s="20" t="str">
        <f>IF(
   T_Channel[[#This Row],[Check]]&lt;&gt;"OK",
   "",
   T_Channel[[#This Row],[LogFolder]] &amp; "\" &amp; T_Channel[[#This Row],[LogFile]]
)</f>
        <v/>
      </c>
      <c r="W377" s="20" t="str">
        <f>IF(
   T_Channel[[#This Row],[Safekeeping of logs]]="",
   "",
   VLOOKUP(T_Channel[[#This Row],[Safekeeping of logs]],T_List_LogMode[],2,FALSE)
)</f>
        <v/>
      </c>
      <c r="X377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378" spans="2:24" x14ac:dyDescent="0.45">
      <c r="B378" s="7"/>
      <c r="C378" s="7"/>
      <c r="D378" s="7"/>
      <c r="E378" s="7"/>
      <c r="F378" s="6"/>
      <c r="G378" s="6"/>
      <c r="H378" s="6"/>
      <c r="I378" s="6"/>
      <c r="J378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378" s="21"/>
      <c r="L378" s="7"/>
      <c r="M378" s="41"/>
      <c r="N378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378" s="26" t="str">
        <f>IF(
   T_Channel[[#This Row],[ProviderName]]="",
   "",
   COUNTIF($N$12:$N$9982,T_Channel[[#This Row],[ProviderName]])
)</f>
        <v/>
      </c>
      <c r="P378" s="26" t="str">
        <f>IF(
   T_Channel[[#This Row],[Check]]&lt;&gt;"OK",
   "",
   IF(
      T_Channel[[#This Row],[Query]]="",
      "Empty",
      "Defined"
   )
)</f>
        <v/>
      </c>
      <c r="Q378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378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378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37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378" s="20" t="str">
        <f>IF(
   T_Channel[[#This Row],[Check]]&lt;&gt;"OK",
   "",
   T_Channel[[#This Row],[ChannelSymbol]] &amp; ".evtx"
)</f>
        <v/>
      </c>
      <c r="V378" s="20" t="str">
        <f>IF(
   T_Channel[[#This Row],[Check]]&lt;&gt;"OK",
   "",
   T_Channel[[#This Row],[LogFolder]] &amp; "\" &amp; T_Channel[[#This Row],[LogFile]]
)</f>
        <v/>
      </c>
      <c r="W378" s="20" t="str">
        <f>IF(
   T_Channel[[#This Row],[Safekeeping of logs]]="",
   "",
   VLOOKUP(T_Channel[[#This Row],[Safekeeping of logs]],T_List_LogMode[],2,FALSE)
)</f>
        <v/>
      </c>
      <c r="X378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379" spans="2:24" x14ac:dyDescent="0.45">
      <c r="B379" s="7"/>
      <c r="C379" s="7"/>
      <c r="D379" s="7"/>
      <c r="E379" s="7"/>
      <c r="F379" s="6"/>
      <c r="G379" s="6"/>
      <c r="H379" s="6"/>
      <c r="I379" s="6"/>
      <c r="J379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379" s="21"/>
      <c r="L379" s="7"/>
      <c r="M379" s="41"/>
      <c r="N379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379" s="26" t="str">
        <f>IF(
   T_Channel[[#This Row],[ProviderName]]="",
   "",
   COUNTIF($N$12:$N$9982,T_Channel[[#This Row],[ProviderName]])
)</f>
        <v/>
      </c>
      <c r="P379" s="26" t="str">
        <f>IF(
   T_Channel[[#This Row],[Check]]&lt;&gt;"OK",
   "",
   IF(
      T_Channel[[#This Row],[Query]]="",
      "Empty",
      "Defined"
   )
)</f>
        <v/>
      </c>
      <c r="Q379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379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379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37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379" s="20" t="str">
        <f>IF(
   T_Channel[[#This Row],[Check]]&lt;&gt;"OK",
   "",
   T_Channel[[#This Row],[ChannelSymbol]] &amp; ".evtx"
)</f>
        <v/>
      </c>
      <c r="V379" s="20" t="str">
        <f>IF(
   T_Channel[[#This Row],[Check]]&lt;&gt;"OK",
   "",
   T_Channel[[#This Row],[LogFolder]] &amp; "\" &amp; T_Channel[[#This Row],[LogFile]]
)</f>
        <v/>
      </c>
      <c r="W379" s="20" t="str">
        <f>IF(
   T_Channel[[#This Row],[Safekeeping of logs]]="",
   "",
   VLOOKUP(T_Channel[[#This Row],[Safekeeping of logs]],T_List_LogMode[],2,FALSE)
)</f>
        <v/>
      </c>
      <c r="X379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380" spans="2:24" x14ac:dyDescent="0.45">
      <c r="B380" s="7"/>
      <c r="C380" s="7"/>
      <c r="D380" s="7"/>
      <c r="E380" s="7"/>
      <c r="F380" s="6"/>
      <c r="G380" s="6"/>
      <c r="H380" s="6"/>
      <c r="I380" s="6"/>
      <c r="J380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380" s="21"/>
      <c r="L380" s="7"/>
      <c r="M380" s="41"/>
      <c r="N380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380" s="26" t="str">
        <f>IF(
   T_Channel[[#This Row],[ProviderName]]="",
   "",
   COUNTIF($N$12:$N$9982,T_Channel[[#This Row],[ProviderName]])
)</f>
        <v/>
      </c>
      <c r="P380" s="26" t="str">
        <f>IF(
   T_Channel[[#This Row],[Check]]&lt;&gt;"OK",
   "",
   IF(
      T_Channel[[#This Row],[Query]]="",
      "Empty",
      "Defined"
   )
)</f>
        <v/>
      </c>
      <c r="Q380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380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380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38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380" s="20" t="str">
        <f>IF(
   T_Channel[[#This Row],[Check]]&lt;&gt;"OK",
   "",
   T_Channel[[#This Row],[ChannelSymbol]] &amp; ".evtx"
)</f>
        <v/>
      </c>
      <c r="V380" s="20" t="str">
        <f>IF(
   T_Channel[[#This Row],[Check]]&lt;&gt;"OK",
   "",
   T_Channel[[#This Row],[LogFolder]] &amp; "\" &amp; T_Channel[[#This Row],[LogFile]]
)</f>
        <v/>
      </c>
      <c r="W380" s="20" t="str">
        <f>IF(
   T_Channel[[#This Row],[Safekeeping of logs]]="",
   "",
   VLOOKUP(T_Channel[[#This Row],[Safekeeping of logs]],T_List_LogMode[],2,FALSE)
)</f>
        <v/>
      </c>
      <c r="X380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381" spans="2:24" x14ac:dyDescent="0.45">
      <c r="B381" s="7"/>
      <c r="C381" s="7"/>
      <c r="D381" s="7"/>
      <c r="E381" s="7"/>
      <c r="F381" s="6"/>
      <c r="G381" s="6"/>
      <c r="H381" s="6"/>
      <c r="I381" s="6"/>
      <c r="J381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381" s="21"/>
      <c r="L381" s="7"/>
      <c r="M381" s="41"/>
      <c r="N381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381" s="26" t="str">
        <f>IF(
   T_Channel[[#This Row],[ProviderName]]="",
   "",
   COUNTIF($N$12:$N$9982,T_Channel[[#This Row],[ProviderName]])
)</f>
        <v/>
      </c>
      <c r="P381" s="26" t="str">
        <f>IF(
   T_Channel[[#This Row],[Check]]&lt;&gt;"OK",
   "",
   IF(
      T_Channel[[#This Row],[Query]]="",
      "Empty",
      "Defined"
   )
)</f>
        <v/>
      </c>
      <c r="Q381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381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381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38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381" s="20" t="str">
        <f>IF(
   T_Channel[[#This Row],[Check]]&lt;&gt;"OK",
   "",
   T_Channel[[#This Row],[ChannelSymbol]] &amp; ".evtx"
)</f>
        <v/>
      </c>
      <c r="V381" s="20" t="str">
        <f>IF(
   T_Channel[[#This Row],[Check]]&lt;&gt;"OK",
   "",
   T_Channel[[#This Row],[LogFolder]] &amp; "\" &amp; T_Channel[[#This Row],[LogFile]]
)</f>
        <v/>
      </c>
      <c r="W381" s="20" t="str">
        <f>IF(
   T_Channel[[#This Row],[Safekeeping of logs]]="",
   "",
   VLOOKUP(T_Channel[[#This Row],[Safekeeping of logs]],T_List_LogMode[],2,FALSE)
)</f>
        <v/>
      </c>
      <c r="X381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382" spans="2:24" x14ac:dyDescent="0.45">
      <c r="B382" s="7"/>
      <c r="C382" s="7"/>
      <c r="D382" s="7"/>
      <c r="E382" s="7"/>
      <c r="F382" s="6"/>
      <c r="G382" s="6"/>
      <c r="H382" s="6"/>
      <c r="I382" s="6"/>
      <c r="J382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382" s="21"/>
      <c r="L382" s="7"/>
      <c r="M382" s="41"/>
      <c r="N382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382" s="26" t="str">
        <f>IF(
   T_Channel[[#This Row],[ProviderName]]="",
   "",
   COUNTIF($N$12:$N$9982,T_Channel[[#This Row],[ProviderName]])
)</f>
        <v/>
      </c>
      <c r="P382" s="26" t="str">
        <f>IF(
   T_Channel[[#This Row],[Check]]&lt;&gt;"OK",
   "",
   IF(
      T_Channel[[#This Row],[Query]]="",
      "Empty",
      "Defined"
   )
)</f>
        <v/>
      </c>
      <c r="Q382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382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382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38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382" s="20" t="str">
        <f>IF(
   T_Channel[[#This Row],[Check]]&lt;&gt;"OK",
   "",
   T_Channel[[#This Row],[ChannelSymbol]] &amp; ".evtx"
)</f>
        <v/>
      </c>
      <c r="V382" s="20" t="str">
        <f>IF(
   T_Channel[[#This Row],[Check]]&lt;&gt;"OK",
   "",
   T_Channel[[#This Row],[LogFolder]] &amp; "\" &amp; T_Channel[[#This Row],[LogFile]]
)</f>
        <v/>
      </c>
      <c r="W382" s="20" t="str">
        <f>IF(
   T_Channel[[#This Row],[Safekeeping of logs]]="",
   "",
   VLOOKUP(T_Channel[[#This Row],[Safekeeping of logs]],T_List_LogMode[],2,FALSE)
)</f>
        <v/>
      </c>
      <c r="X382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383" spans="2:24" x14ac:dyDescent="0.45">
      <c r="B383" s="7"/>
      <c r="C383" s="7"/>
      <c r="D383" s="7"/>
      <c r="E383" s="7"/>
      <c r="F383" s="6"/>
      <c r="G383" s="6"/>
      <c r="H383" s="6"/>
      <c r="I383" s="6"/>
      <c r="J383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383" s="21"/>
      <c r="L383" s="7"/>
      <c r="M383" s="41"/>
      <c r="N383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383" s="26" t="str">
        <f>IF(
   T_Channel[[#This Row],[ProviderName]]="",
   "",
   COUNTIF($N$12:$N$9982,T_Channel[[#This Row],[ProviderName]])
)</f>
        <v/>
      </c>
      <c r="P383" s="26" t="str">
        <f>IF(
   T_Channel[[#This Row],[Check]]&lt;&gt;"OK",
   "",
   IF(
      T_Channel[[#This Row],[Query]]="",
      "Empty",
      "Defined"
   )
)</f>
        <v/>
      </c>
      <c r="Q383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383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383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38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383" s="20" t="str">
        <f>IF(
   T_Channel[[#This Row],[Check]]&lt;&gt;"OK",
   "",
   T_Channel[[#This Row],[ChannelSymbol]] &amp; ".evtx"
)</f>
        <v/>
      </c>
      <c r="V383" s="20" t="str">
        <f>IF(
   T_Channel[[#This Row],[Check]]&lt;&gt;"OK",
   "",
   T_Channel[[#This Row],[LogFolder]] &amp; "\" &amp; T_Channel[[#This Row],[LogFile]]
)</f>
        <v/>
      </c>
      <c r="W383" s="20" t="str">
        <f>IF(
   T_Channel[[#This Row],[Safekeeping of logs]]="",
   "",
   VLOOKUP(T_Channel[[#This Row],[Safekeeping of logs]],T_List_LogMode[],2,FALSE)
)</f>
        <v/>
      </c>
      <c r="X383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384" spans="2:24" x14ac:dyDescent="0.45">
      <c r="B384" s="7"/>
      <c r="C384" s="7"/>
      <c r="D384" s="7"/>
      <c r="E384" s="7"/>
      <c r="F384" s="6"/>
      <c r="G384" s="6"/>
      <c r="H384" s="6"/>
      <c r="I384" s="6"/>
      <c r="J384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384" s="21"/>
      <c r="L384" s="7"/>
      <c r="M384" s="41"/>
      <c r="N384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384" s="26" t="str">
        <f>IF(
   T_Channel[[#This Row],[ProviderName]]="",
   "",
   COUNTIF($N$12:$N$9982,T_Channel[[#This Row],[ProviderName]])
)</f>
        <v/>
      </c>
      <c r="P384" s="26" t="str">
        <f>IF(
   T_Channel[[#This Row],[Check]]&lt;&gt;"OK",
   "",
   IF(
      T_Channel[[#This Row],[Query]]="",
      "Empty",
      "Defined"
   )
)</f>
        <v/>
      </c>
      <c r="Q384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384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384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38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384" s="20" t="str">
        <f>IF(
   T_Channel[[#This Row],[Check]]&lt;&gt;"OK",
   "",
   T_Channel[[#This Row],[ChannelSymbol]] &amp; ".evtx"
)</f>
        <v/>
      </c>
      <c r="V384" s="20" t="str">
        <f>IF(
   T_Channel[[#This Row],[Check]]&lt;&gt;"OK",
   "",
   T_Channel[[#This Row],[LogFolder]] &amp; "\" &amp; T_Channel[[#This Row],[LogFile]]
)</f>
        <v/>
      </c>
      <c r="W384" s="20" t="str">
        <f>IF(
   T_Channel[[#This Row],[Safekeeping of logs]]="",
   "",
   VLOOKUP(T_Channel[[#This Row],[Safekeeping of logs]],T_List_LogMode[],2,FALSE)
)</f>
        <v/>
      </c>
      <c r="X384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385" spans="2:24" x14ac:dyDescent="0.45">
      <c r="B385" s="7"/>
      <c r="C385" s="7"/>
      <c r="D385" s="7"/>
      <c r="E385" s="7"/>
      <c r="F385" s="6"/>
      <c r="G385" s="6"/>
      <c r="H385" s="6"/>
      <c r="I385" s="6"/>
      <c r="J385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385" s="21"/>
      <c r="L385" s="7"/>
      <c r="M385" s="41"/>
      <c r="N385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385" s="26" t="str">
        <f>IF(
   T_Channel[[#This Row],[ProviderName]]="",
   "",
   COUNTIF($N$12:$N$9982,T_Channel[[#This Row],[ProviderName]])
)</f>
        <v/>
      </c>
      <c r="P385" s="26" t="str">
        <f>IF(
   T_Channel[[#This Row],[Check]]&lt;&gt;"OK",
   "",
   IF(
      T_Channel[[#This Row],[Query]]="",
      "Empty",
      "Defined"
   )
)</f>
        <v/>
      </c>
      <c r="Q385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385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385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38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385" s="20" t="str">
        <f>IF(
   T_Channel[[#This Row],[Check]]&lt;&gt;"OK",
   "",
   T_Channel[[#This Row],[ChannelSymbol]] &amp; ".evtx"
)</f>
        <v/>
      </c>
      <c r="V385" s="20" t="str">
        <f>IF(
   T_Channel[[#This Row],[Check]]&lt;&gt;"OK",
   "",
   T_Channel[[#This Row],[LogFolder]] &amp; "\" &amp; T_Channel[[#This Row],[LogFile]]
)</f>
        <v/>
      </c>
      <c r="W385" s="20" t="str">
        <f>IF(
   T_Channel[[#This Row],[Safekeeping of logs]]="",
   "",
   VLOOKUP(T_Channel[[#This Row],[Safekeeping of logs]],T_List_LogMode[],2,FALSE)
)</f>
        <v/>
      </c>
      <c r="X385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386" spans="2:24" x14ac:dyDescent="0.45">
      <c r="B386" s="7"/>
      <c r="C386" s="7"/>
      <c r="D386" s="7"/>
      <c r="E386" s="7"/>
      <c r="F386" s="6"/>
      <c r="G386" s="6"/>
      <c r="H386" s="6"/>
      <c r="I386" s="6"/>
      <c r="J386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386" s="21"/>
      <c r="L386" s="7"/>
      <c r="M386" s="41"/>
      <c r="N386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386" s="26" t="str">
        <f>IF(
   T_Channel[[#This Row],[ProviderName]]="",
   "",
   COUNTIF($N$12:$N$9982,T_Channel[[#This Row],[ProviderName]])
)</f>
        <v/>
      </c>
      <c r="P386" s="26" t="str">
        <f>IF(
   T_Channel[[#This Row],[Check]]&lt;&gt;"OK",
   "",
   IF(
      T_Channel[[#This Row],[Query]]="",
      "Empty",
      "Defined"
   )
)</f>
        <v/>
      </c>
      <c r="Q386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386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386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38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386" s="20" t="str">
        <f>IF(
   T_Channel[[#This Row],[Check]]&lt;&gt;"OK",
   "",
   T_Channel[[#This Row],[ChannelSymbol]] &amp; ".evtx"
)</f>
        <v/>
      </c>
      <c r="V386" s="20" t="str">
        <f>IF(
   T_Channel[[#This Row],[Check]]&lt;&gt;"OK",
   "",
   T_Channel[[#This Row],[LogFolder]] &amp; "\" &amp; T_Channel[[#This Row],[LogFile]]
)</f>
        <v/>
      </c>
      <c r="W386" s="20" t="str">
        <f>IF(
   T_Channel[[#This Row],[Safekeeping of logs]]="",
   "",
   VLOOKUP(T_Channel[[#This Row],[Safekeeping of logs]],T_List_LogMode[],2,FALSE)
)</f>
        <v/>
      </c>
      <c r="X386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387" spans="2:24" x14ac:dyDescent="0.45">
      <c r="B387" s="7"/>
      <c r="C387" s="7"/>
      <c r="D387" s="7"/>
      <c r="E387" s="7"/>
      <c r="F387" s="6"/>
      <c r="G387" s="6"/>
      <c r="H387" s="6"/>
      <c r="I387" s="6"/>
      <c r="J387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387" s="21"/>
      <c r="L387" s="7"/>
      <c r="M387" s="41"/>
      <c r="N387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387" s="26" t="str">
        <f>IF(
   T_Channel[[#This Row],[ProviderName]]="",
   "",
   COUNTIF($N$12:$N$9982,T_Channel[[#This Row],[ProviderName]])
)</f>
        <v/>
      </c>
      <c r="P387" s="26" t="str">
        <f>IF(
   T_Channel[[#This Row],[Check]]&lt;&gt;"OK",
   "",
   IF(
      T_Channel[[#This Row],[Query]]="",
      "Empty",
      "Defined"
   )
)</f>
        <v/>
      </c>
      <c r="Q387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387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387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38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387" s="20" t="str">
        <f>IF(
   T_Channel[[#This Row],[Check]]&lt;&gt;"OK",
   "",
   T_Channel[[#This Row],[ChannelSymbol]] &amp; ".evtx"
)</f>
        <v/>
      </c>
      <c r="V387" s="20" t="str">
        <f>IF(
   T_Channel[[#This Row],[Check]]&lt;&gt;"OK",
   "",
   T_Channel[[#This Row],[LogFolder]] &amp; "\" &amp; T_Channel[[#This Row],[LogFile]]
)</f>
        <v/>
      </c>
      <c r="W387" s="20" t="str">
        <f>IF(
   T_Channel[[#This Row],[Safekeeping of logs]]="",
   "",
   VLOOKUP(T_Channel[[#This Row],[Safekeeping of logs]],T_List_LogMode[],2,FALSE)
)</f>
        <v/>
      </c>
      <c r="X387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388" spans="2:24" x14ac:dyDescent="0.45">
      <c r="B388" s="7"/>
      <c r="C388" s="7"/>
      <c r="D388" s="7"/>
      <c r="E388" s="7"/>
      <c r="F388" s="6"/>
      <c r="G388" s="6"/>
      <c r="H388" s="6"/>
      <c r="I388" s="6"/>
      <c r="J388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388" s="21"/>
      <c r="L388" s="7"/>
      <c r="M388" s="41"/>
      <c r="N388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388" s="26" t="str">
        <f>IF(
   T_Channel[[#This Row],[ProviderName]]="",
   "",
   COUNTIF($N$12:$N$9982,T_Channel[[#This Row],[ProviderName]])
)</f>
        <v/>
      </c>
      <c r="P388" s="26" t="str">
        <f>IF(
   T_Channel[[#This Row],[Check]]&lt;&gt;"OK",
   "",
   IF(
      T_Channel[[#This Row],[Query]]="",
      "Empty",
      "Defined"
   )
)</f>
        <v/>
      </c>
      <c r="Q388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388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388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38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388" s="20" t="str">
        <f>IF(
   T_Channel[[#This Row],[Check]]&lt;&gt;"OK",
   "",
   T_Channel[[#This Row],[ChannelSymbol]] &amp; ".evtx"
)</f>
        <v/>
      </c>
      <c r="V388" s="20" t="str">
        <f>IF(
   T_Channel[[#This Row],[Check]]&lt;&gt;"OK",
   "",
   T_Channel[[#This Row],[LogFolder]] &amp; "\" &amp; T_Channel[[#This Row],[LogFile]]
)</f>
        <v/>
      </c>
      <c r="W388" s="20" t="str">
        <f>IF(
   T_Channel[[#This Row],[Safekeeping of logs]]="",
   "",
   VLOOKUP(T_Channel[[#This Row],[Safekeeping of logs]],T_List_LogMode[],2,FALSE)
)</f>
        <v/>
      </c>
      <c r="X388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389" spans="2:24" x14ac:dyDescent="0.45">
      <c r="B389" s="7"/>
      <c r="C389" s="7"/>
      <c r="D389" s="7"/>
      <c r="E389" s="7"/>
      <c r="F389" s="6"/>
      <c r="G389" s="6"/>
      <c r="H389" s="6"/>
      <c r="I389" s="6"/>
      <c r="J389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389" s="21"/>
      <c r="L389" s="7"/>
      <c r="M389" s="41"/>
      <c r="N389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389" s="26" t="str">
        <f>IF(
   T_Channel[[#This Row],[ProviderName]]="",
   "",
   COUNTIF($N$12:$N$9982,T_Channel[[#This Row],[ProviderName]])
)</f>
        <v/>
      </c>
      <c r="P389" s="26" t="str">
        <f>IF(
   T_Channel[[#This Row],[Check]]&lt;&gt;"OK",
   "",
   IF(
      T_Channel[[#This Row],[Query]]="",
      "Empty",
      "Defined"
   )
)</f>
        <v/>
      </c>
      <c r="Q389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389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389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38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389" s="20" t="str">
        <f>IF(
   T_Channel[[#This Row],[Check]]&lt;&gt;"OK",
   "",
   T_Channel[[#This Row],[ChannelSymbol]] &amp; ".evtx"
)</f>
        <v/>
      </c>
      <c r="V389" s="20" t="str">
        <f>IF(
   T_Channel[[#This Row],[Check]]&lt;&gt;"OK",
   "",
   T_Channel[[#This Row],[LogFolder]] &amp; "\" &amp; T_Channel[[#This Row],[LogFile]]
)</f>
        <v/>
      </c>
      <c r="W389" s="20" t="str">
        <f>IF(
   T_Channel[[#This Row],[Safekeeping of logs]]="",
   "",
   VLOOKUP(T_Channel[[#This Row],[Safekeeping of logs]],T_List_LogMode[],2,FALSE)
)</f>
        <v/>
      </c>
      <c r="X389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390" spans="2:24" x14ac:dyDescent="0.45">
      <c r="B390" s="7"/>
      <c r="C390" s="7"/>
      <c r="D390" s="7"/>
      <c r="E390" s="7"/>
      <c r="F390" s="6"/>
      <c r="G390" s="6"/>
      <c r="H390" s="6"/>
      <c r="I390" s="6"/>
      <c r="J390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390" s="21"/>
      <c r="L390" s="7"/>
      <c r="M390" s="41"/>
      <c r="N390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390" s="26" t="str">
        <f>IF(
   T_Channel[[#This Row],[ProviderName]]="",
   "",
   COUNTIF($N$12:$N$9982,T_Channel[[#This Row],[ProviderName]])
)</f>
        <v/>
      </c>
      <c r="P390" s="26" t="str">
        <f>IF(
   T_Channel[[#This Row],[Check]]&lt;&gt;"OK",
   "",
   IF(
      T_Channel[[#This Row],[Query]]="",
      "Empty",
      "Defined"
   )
)</f>
        <v/>
      </c>
      <c r="Q390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390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390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39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390" s="20" t="str">
        <f>IF(
   T_Channel[[#This Row],[Check]]&lt;&gt;"OK",
   "",
   T_Channel[[#This Row],[ChannelSymbol]] &amp; ".evtx"
)</f>
        <v/>
      </c>
      <c r="V390" s="20" t="str">
        <f>IF(
   T_Channel[[#This Row],[Check]]&lt;&gt;"OK",
   "",
   T_Channel[[#This Row],[LogFolder]] &amp; "\" &amp; T_Channel[[#This Row],[LogFile]]
)</f>
        <v/>
      </c>
      <c r="W390" s="20" t="str">
        <f>IF(
   T_Channel[[#This Row],[Safekeeping of logs]]="",
   "",
   VLOOKUP(T_Channel[[#This Row],[Safekeeping of logs]],T_List_LogMode[],2,FALSE)
)</f>
        <v/>
      </c>
      <c r="X390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391" spans="2:24" x14ac:dyDescent="0.45">
      <c r="B391" s="7"/>
      <c r="C391" s="7"/>
      <c r="D391" s="7"/>
      <c r="E391" s="7"/>
      <c r="F391" s="6"/>
      <c r="G391" s="6"/>
      <c r="H391" s="6"/>
      <c r="I391" s="6"/>
      <c r="J391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391" s="21"/>
      <c r="L391" s="7"/>
      <c r="M391" s="41"/>
      <c r="N391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391" s="26" t="str">
        <f>IF(
   T_Channel[[#This Row],[ProviderName]]="",
   "",
   COUNTIF($N$12:$N$9982,T_Channel[[#This Row],[ProviderName]])
)</f>
        <v/>
      </c>
      <c r="P391" s="26" t="str">
        <f>IF(
   T_Channel[[#This Row],[Check]]&lt;&gt;"OK",
   "",
   IF(
      T_Channel[[#This Row],[Query]]="",
      "Empty",
      "Defined"
   )
)</f>
        <v/>
      </c>
      <c r="Q391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391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391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39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391" s="20" t="str">
        <f>IF(
   T_Channel[[#This Row],[Check]]&lt;&gt;"OK",
   "",
   T_Channel[[#This Row],[ChannelSymbol]] &amp; ".evtx"
)</f>
        <v/>
      </c>
      <c r="V391" s="20" t="str">
        <f>IF(
   T_Channel[[#This Row],[Check]]&lt;&gt;"OK",
   "",
   T_Channel[[#This Row],[LogFolder]] &amp; "\" &amp; T_Channel[[#This Row],[LogFile]]
)</f>
        <v/>
      </c>
      <c r="W391" s="20" t="str">
        <f>IF(
   T_Channel[[#This Row],[Safekeeping of logs]]="",
   "",
   VLOOKUP(T_Channel[[#This Row],[Safekeeping of logs]],T_List_LogMode[],2,FALSE)
)</f>
        <v/>
      </c>
      <c r="X391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392" spans="2:24" x14ac:dyDescent="0.45">
      <c r="B392" s="7"/>
      <c r="C392" s="7"/>
      <c r="D392" s="7"/>
      <c r="E392" s="7"/>
      <c r="F392" s="6"/>
      <c r="G392" s="6"/>
      <c r="H392" s="6"/>
      <c r="I392" s="6"/>
      <c r="J392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392" s="21"/>
      <c r="L392" s="7"/>
      <c r="M392" s="41"/>
      <c r="N392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392" s="26" t="str">
        <f>IF(
   T_Channel[[#This Row],[ProviderName]]="",
   "",
   COUNTIF($N$12:$N$9982,T_Channel[[#This Row],[ProviderName]])
)</f>
        <v/>
      </c>
      <c r="P392" s="26" t="str">
        <f>IF(
   T_Channel[[#This Row],[Check]]&lt;&gt;"OK",
   "",
   IF(
      T_Channel[[#This Row],[Query]]="",
      "Empty",
      "Defined"
   )
)</f>
        <v/>
      </c>
      <c r="Q392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392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392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39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392" s="20" t="str">
        <f>IF(
   T_Channel[[#This Row],[Check]]&lt;&gt;"OK",
   "",
   T_Channel[[#This Row],[ChannelSymbol]] &amp; ".evtx"
)</f>
        <v/>
      </c>
      <c r="V392" s="20" t="str">
        <f>IF(
   T_Channel[[#This Row],[Check]]&lt;&gt;"OK",
   "",
   T_Channel[[#This Row],[LogFolder]] &amp; "\" &amp; T_Channel[[#This Row],[LogFile]]
)</f>
        <v/>
      </c>
      <c r="W392" s="20" t="str">
        <f>IF(
   T_Channel[[#This Row],[Safekeeping of logs]]="",
   "",
   VLOOKUP(T_Channel[[#This Row],[Safekeeping of logs]],T_List_LogMode[],2,FALSE)
)</f>
        <v/>
      </c>
      <c r="X392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393" spans="2:24" x14ac:dyDescent="0.45">
      <c r="B393" s="7"/>
      <c r="C393" s="7"/>
      <c r="D393" s="7"/>
      <c r="E393" s="7"/>
      <c r="F393" s="6"/>
      <c r="G393" s="6"/>
      <c r="H393" s="6"/>
      <c r="I393" s="6"/>
      <c r="J393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393" s="21"/>
      <c r="L393" s="7"/>
      <c r="M393" s="41"/>
      <c r="N393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393" s="26" t="str">
        <f>IF(
   T_Channel[[#This Row],[ProviderName]]="",
   "",
   COUNTIF($N$12:$N$9982,T_Channel[[#This Row],[ProviderName]])
)</f>
        <v/>
      </c>
      <c r="P393" s="26" t="str">
        <f>IF(
   T_Channel[[#This Row],[Check]]&lt;&gt;"OK",
   "",
   IF(
      T_Channel[[#This Row],[Query]]="",
      "Empty",
      "Defined"
   )
)</f>
        <v/>
      </c>
      <c r="Q393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393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393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39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393" s="20" t="str">
        <f>IF(
   T_Channel[[#This Row],[Check]]&lt;&gt;"OK",
   "",
   T_Channel[[#This Row],[ChannelSymbol]] &amp; ".evtx"
)</f>
        <v/>
      </c>
      <c r="V393" s="20" t="str">
        <f>IF(
   T_Channel[[#This Row],[Check]]&lt;&gt;"OK",
   "",
   T_Channel[[#This Row],[LogFolder]] &amp; "\" &amp; T_Channel[[#This Row],[LogFile]]
)</f>
        <v/>
      </c>
      <c r="W393" s="20" t="str">
        <f>IF(
   T_Channel[[#This Row],[Safekeeping of logs]]="",
   "",
   VLOOKUP(T_Channel[[#This Row],[Safekeeping of logs]],T_List_LogMode[],2,FALSE)
)</f>
        <v/>
      </c>
      <c r="X393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394" spans="2:24" x14ac:dyDescent="0.45">
      <c r="B394" s="7"/>
      <c r="C394" s="7"/>
      <c r="D394" s="7"/>
      <c r="E394" s="7"/>
      <c r="F394" s="6"/>
      <c r="G394" s="6"/>
      <c r="H394" s="6"/>
      <c r="I394" s="6"/>
      <c r="J394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394" s="21"/>
      <c r="L394" s="7"/>
      <c r="M394" s="41"/>
      <c r="N394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394" s="26" t="str">
        <f>IF(
   T_Channel[[#This Row],[ProviderName]]="",
   "",
   COUNTIF($N$12:$N$9982,T_Channel[[#This Row],[ProviderName]])
)</f>
        <v/>
      </c>
      <c r="P394" s="26" t="str">
        <f>IF(
   T_Channel[[#This Row],[Check]]&lt;&gt;"OK",
   "",
   IF(
      T_Channel[[#This Row],[Query]]="",
      "Empty",
      "Defined"
   )
)</f>
        <v/>
      </c>
      <c r="Q394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394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394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39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394" s="20" t="str">
        <f>IF(
   T_Channel[[#This Row],[Check]]&lt;&gt;"OK",
   "",
   T_Channel[[#This Row],[ChannelSymbol]] &amp; ".evtx"
)</f>
        <v/>
      </c>
      <c r="V394" s="20" t="str">
        <f>IF(
   T_Channel[[#This Row],[Check]]&lt;&gt;"OK",
   "",
   T_Channel[[#This Row],[LogFolder]] &amp; "\" &amp; T_Channel[[#This Row],[LogFile]]
)</f>
        <v/>
      </c>
      <c r="W394" s="20" t="str">
        <f>IF(
   T_Channel[[#This Row],[Safekeeping of logs]]="",
   "",
   VLOOKUP(T_Channel[[#This Row],[Safekeeping of logs]],T_List_LogMode[],2,FALSE)
)</f>
        <v/>
      </c>
      <c r="X394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395" spans="2:24" x14ac:dyDescent="0.45">
      <c r="B395" s="7"/>
      <c r="C395" s="7"/>
      <c r="D395" s="7"/>
      <c r="E395" s="7"/>
      <c r="F395" s="6"/>
      <c r="G395" s="6"/>
      <c r="H395" s="6"/>
      <c r="I395" s="6"/>
      <c r="J395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395" s="21"/>
      <c r="L395" s="7"/>
      <c r="M395" s="41"/>
      <c r="N395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395" s="26" t="str">
        <f>IF(
   T_Channel[[#This Row],[ProviderName]]="",
   "",
   COUNTIF($N$12:$N$9982,T_Channel[[#This Row],[ProviderName]])
)</f>
        <v/>
      </c>
      <c r="P395" s="26" t="str">
        <f>IF(
   T_Channel[[#This Row],[Check]]&lt;&gt;"OK",
   "",
   IF(
      T_Channel[[#This Row],[Query]]="",
      "Empty",
      "Defined"
   )
)</f>
        <v/>
      </c>
      <c r="Q395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395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395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39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395" s="20" t="str">
        <f>IF(
   T_Channel[[#This Row],[Check]]&lt;&gt;"OK",
   "",
   T_Channel[[#This Row],[ChannelSymbol]] &amp; ".evtx"
)</f>
        <v/>
      </c>
      <c r="V395" s="20" t="str">
        <f>IF(
   T_Channel[[#This Row],[Check]]&lt;&gt;"OK",
   "",
   T_Channel[[#This Row],[LogFolder]] &amp; "\" &amp; T_Channel[[#This Row],[LogFile]]
)</f>
        <v/>
      </c>
      <c r="W395" s="20" t="str">
        <f>IF(
   T_Channel[[#This Row],[Safekeeping of logs]]="",
   "",
   VLOOKUP(T_Channel[[#This Row],[Safekeeping of logs]],T_List_LogMode[],2,FALSE)
)</f>
        <v/>
      </c>
      <c r="X395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396" spans="2:24" x14ac:dyDescent="0.45">
      <c r="B396" s="7"/>
      <c r="C396" s="7"/>
      <c r="D396" s="7"/>
      <c r="E396" s="7"/>
      <c r="F396" s="6"/>
      <c r="G396" s="6"/>
      <c r="H396" s="6"/>
      <c r="I396" s="6"/>
      <c r="J396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396" s="21"/>
      <c r="L396" s="7"/>
      <c r="M396" s="41"/>
      <c r="N396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396" s="26" t="str">
        <f>IF(
   T_Channel[[#This Row],[ProviderName]]="",
   "",
   COUNTIF($N$12:$N$9982,T_Channel[[#This Row],[ProviderName]])
)</f>
        <v/>
      </c>
      <c r="P396" s="26" t="str">
        <f>IF(
   T_Channel[[#This Row],[Check]]&lt;&gt;"OK",
   "",
   IF(
      T_Channel[[#This Row],[Query]]="",
      "Empty",
      "Defined"
   )
)</f>
        <v/>
      </c>
      <c r="Q396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396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396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39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396" s="20" t="str">
        <f>IF(
   T_Channel[[#This Row],[Check]]&lt;&gt;"OK",
   "",
   T_Channel[[#This Row],[ChannelSymbol]] &amp; ".evtx"
)</f>
        <v/>
      </c>
      <c r="V396" s="20" t="str">
        <f>IF(
   T_Channel[[#This Row],[Check]]&lt;&gt;"OK",
   "",
   T_Channel[[#This Row],[LogFolder]] &amp; "\" &amp; T_Channel[[#This Row],[LogFile]]
)</f>
        <v/>
      </c>
      <c r="W396" s="20" t="str">
        <f>IF(
   T_Channel[[#This Row],[Safekeeping of logs]]="",
   "",
   VLOOKUP(T_Channel[[#This Row],[Safekeeping of logs]],T_List_LogMode[],2,FALSE)
)</f>
        <v/>
      </c>
      <c r="X396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397" spans="2:24" x14ac:dyDescent="0.45">
      <c r="B397" s="7"/>
      <c r="C397" s="7"/>
      <c r="D397" s="7"/>
      <c r="E397" s="7"/>
      <c r="F397" s="6"/>
      <c r="G397" s="6"/>
      <c r="H397" s="6"/>
      <c r="I397" s="6"/>
      <c r="J397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397" s="21"/>
      <c r="L397" s="7"/>
      <c r="M397" s="41"/>
      <c r="N397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397" s="26" t="str">
        <f>IF(
   T_Channel[[#This Row],[ProviderName]]="",
   "",
   COUNTIF($N$12:$N$9982,T_Channel[[#This Row],[ProviderName]])
)</f>
        <v/>
      </c>
      <c r="P397" s="26" t="str">
        <f>IF(
   T_Channel[[#This Row],[Check]]&lt;&gt;"OK",
   "",
   IF(
      T_Channel[[#This Row],[Query]]="",
      "Empty",
      "Defined"
   )
)</f>
        <v/>
      </c>
      <c r="Q397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397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397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39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397" s="20" t="str">
        <f>IF(
   T_Channel[[#This Row],[Check]]&lt;&gt;"OK",
   "",
   T_Channel[[#This Row],[ChannelSymbol]] &amp; ".evtx"
)</f>
        <v/>
      </c>
      <c r="V397" s="20" t="str">
        <f>IF(
   T_Channel[[#This Row],[Check]]&lt;&gt;"OK",
   "",
   T_Channel[[#This Row],[LogFolder]] &amp; "\" &amp; T_Channel[[#This Row],[LogFile]]
)</f>
        <v/>
      </c>
      <c r="W397" s="20" t="str">
        <f>IF(
   T_Channel[[#This Row],[Safekeeping of logs]]="",
   "",
   VLOOKUP(T_Channel[[#This Row],[Safekeeping of logs]],T_List_LogMode[],2,FALSE)
)</f>
        <v/>
      </c>
      <c r="X397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398" spans="2:24" x14ac:dyDescent="0.45">
      <c r="B398" s="7"/>
      <c r="C398" s="7"/>
      <c r="D398" s="7"/>
      <c r="E398" s="7"/>
      <c r="F398" s="6"/>
      <c r="G398" s="6"/>
      <c r="H398" s="6"/>
      <c r="I398" s="6"/>
      <c r="J398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398" s="21"/>
      <c r="L398" s="7"/>
      <c r="M398" s="41"/>
      <c r="N398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398" s="26" t="str">
        <f>IF(
   T_Channel[[#This Row],[ProviderName]]="",
   "",
   COUNTIF($N$12:$N$9982,T_Channel[[#This Row],[ProviderName]])
)</f>
        <v/>
      </c>
      <c r="P398" s="26" t="str">
        <f>IF(
   T_Channel[[#This Row],[Check]]&lt;&gt;"OK",
   "",
   IF(
      T_Channel[[#This Row],[Query]]="",
      "Empty",
      "Defined"
   )
)</f>
        <v/>
      </c>
      <c r="Q398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398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398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39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398" s="20" t="str">
        <f>IF(
   T_Channel[[#This Row],[Check]]&lt;&gt;"OK",
   "",
   T_Channel[[#This Row],[ChannelSymbol]] &amp; ".evtx"
)</f>
        <v/>
      </c>
      <c r="V398" s="20" t="str">
        <f>IF(
   T_Channel[[#This Row],[Check]]&lt;&gt;"OK",
   "",
   T_Channel[[#This Row],[LogFolder]] &amp; "\" &amp; T_Channel[[#This Row],[LogFile]]
)</f>
        <v/>
      </c>
      <c r="W398" s="20" t="str">
        <f>IF(
   T_Channel[[#This Row],[Safekeeping of logs]]="",
   "",
   VLOOKUP(T_Channel[[#This Row],[Safekeeping of logs]],T_List_LogMode[],2,FALSE)
)</f>
        <v/>
      </c>
      <c r="X398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399" spans="2:24" x14ac:dyDescent="0.45">
      <c r="B399" s="7"/>
      <c r="C399" s="7"/>
      <c r="D399" s="7"/>
      <c r="E399" s="7"/>
      <c r="F399" s="6"/>
      <c r="G399" s="6"/>
      <c r="H399" s="6"/>
      <c r="I399" s="6"/>
      <c r="J399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399" s="21"/>
      <c r="L399" s="7"/>
      <c r="M399" s="41"/>
      <c r="N399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399" s="26" t="str">
        <f>IF(
   T_Channel[[#This Row],[ProviderName]]="",
   "",
   COUNTIF($N$12:$N$9982,T_Channel[[#This Row],[ProviderName]])
)</f>
        <v/>
      </c>
      <c r="P399" s="26" t="str">
        <f>IF(
   T_Channel[[#This Row],[Check]]&lt;&gt;"OK",
   "",
   IF(
      T_Channel[[#This Row],[Query]]="",
      "Empty",
      "Defined"
   )
)</f>
        <v/>
      </c>
      <c r="Q399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399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399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39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399" s="20" t="str">
        <f>IF(
   T_Channel[[#This Row],[Check]]&lt;&gt;"OK",
   "",
   T_Channel[[#This Row],[ChannelSymbol]] &amp; ".evtx"
)</f>
        <v/>
      </c>
      <c r="V399" s="20" t="str">
        <f>IF(
   T_Channel[[#This Row],[Check]]&lt;&gt;"OK",
   "",
   T_Channel[[#This Row],[LogFolder]] &amp; "\" &amp; T_Channel[[#This Row],[LogFile]]
)</f>
        <v/>
      </c>
      <c r="W399" s="20" t="str">
        <f>IF(
   T_Channel[[#This Row],[Safekeeping of logs]]="",
   "",
   VLOOKUP(T_Channel[[#This Row],[Safekeeping of logs]],T_List_LogMode[],2,FALSE)
)</f>
        <v/>
      </c>
      <c r="X399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400" spans="2:24" x14ac:dyDescent="0.45">
      <c r="B400" s="7"/>
      <c r="C400" s="7"/>
      <c r="D400" s="7"/>
      <c r="E400" s="7"/>
      <c r="F400" s="6"/>
      <c r="G400" s="6"/>
      <c r="H400" s="6"/>
      <c r="I400" s="6"/>
      <c r="J400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400" s="21"/>
      <c r="L400" s="7"/>
      <c r="M400" s="41"/>
      <c r="N400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400" s="26" t="str">
        <f>IF(
   T_Channel[[#This Row],[ProviderName]]="",
   "",
   COUNTIF($N$12:$N$9982,T_Channel[[#This Row],[ProviderName]])
)</f>
        <v/>
      </c>
      <c r="P400" s="26" t="str">
        <f>IF(
   T_Channel[[#This Row],[Check]]&lt;&gt;"OK",
   "",
   IF(
      T_Channel[[#This Row],[Query]]="",
      "Empty",
      "Defined"
   )
)</f>
        <v/>
      </c>
      <c r="Q400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400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400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40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400" s="20" t="str">
        <f>IF(
   T_Channel[[#This Row],[Check]]&lt;&gt;"OK",
   "",
   T_Channel[[#This Row],[ChannelSymbol]] &amp; ".evtx"
)</f>
        <v/>
      </c>
      <c r="V400" s="20" t="str">
        <f>IF(
   T_Channel[[#This Row],[Check]]&lt;&gt;"OK",
   "",
   T_Channel[[#This Row],[LogFolder]] &amp; "\" &amp; T_Channel[[#This Row],[LogFile]]
)</f>
        <v/>
      </c>
      <c r="W400" s="20" t="str">
        <f>IF(
   T_Channel[[#This Row],[Safekeeping of logs]]="",
   "",
   VLOOKUP(T_Channel[[#This Row],[Safekeeping of logs]],T_List_LogMode[],2,FALSE)
)</f>
        <v/>
      </c>
      <c r="X400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401" spans="2:24" x14ac:dyDescent="0.45">
      <c r="B401" s="7"/>
      <c r="C401" s="7"/>
      <c r="D401" s="7"/>
      <c r="E401" s="7"/>
      <c r="F401" s="6"/>
      <c r="G401" s="6"/>
      <c r="H401" s="6"/>
      <c r="I401" s="6"/>
      <c r="J401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401" s="21"/>
      <c r="L401" s="7"/>
      <c r="M401" s="41"/>
      <c r="N401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401" s="26" t="str">
        <f>IF(
   T_Channel[[#This Row],[ProviderName]]="",
   "",
   COUNTIF($N$12:$N$9982,T_Channel[[#This Row],[ProviderName]])
)</f>
        <v/>
      </c>
      <c r="P401" s="26" t="str">
        <f>IF(
   T_Channel[[#This Row],[Check]]&lt;&gt;"OK",
   "",
   IF(
      T_Channel[[#This Row],[Query]]="",
      "Empty",
      "Defined"
   )
)</f>
        <v/>
      </c>
      <c r="Q401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401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401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40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401" s="20" t="str">
        <f>IF(
   T_Channel[[#This Row],[Check]]&lt;&gt;"OK",
   "",
   T_Channel[[#This Row],[ChannelSymbol]] &amp; ".evtx"
)</f>
        <v/>
      </c>
      <c r="V401" s="20" t="str">
        <f>IF(
   T_Channel[[#This Row],[Check]]&lt;&gt;"OK",
   "",
   T_Channel[[#This Row],[LogFolder]] &amp; "\" &amp; T_Channel[[#This Row],[LogFile]]
)</f>
        <v/>
      </c>
      <c r="W401" s="20" t="str">
        <f>IF(
   T_Channel[[#This Row],[Safekeeping of logs]]="",
   "",
   VLOOKUP(T_Channel[[#This Row],[Safekeeping of logs]],T_List_LogMode[],2,FALSE)
)</f>
        <v/>
      </c>
      <c r="X401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402" spans="2:24" x14ac:dyDescent="0.45">
      <c r="B402" s="7"/>
      <c r="C402" s="7"/>
      <c r="D402" s="7"/>
      <c r="E402" s="7"/>
      <c r="F402" s="6"/>
      <c r="G402" s="6"/>
      <c r="H402" s="6"/>
      <c r="I402" s="6"/>
      <c r="J402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402" s="21"/>
      <c r="L402" s="7"/>
      <c r="M402" s="41"/>
      <c r="N402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402" s="26" t="str">
        <f>IF(
   T_Channel[[#This Row],[ProviderName]]="",
   "",
   COUNTIF($N$12:$N$9982,T_Channel[[#This Row],[ProviderName]])
)</f>
        <v/>
      </c>
      <c r="P402" s="26" t="str">
        <f>IF(
   T_Channel[[#This Row],[Check]]&lt;&gt;"OK",
   "",
   IF(
      T_Channel[[#This Row],[Query]]="",
      "Empty",
      "Defined"
   )
)</f>
        <v/>
      </c>
      <c r="Q402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402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402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40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402" s="20" t="str">
        <f>IF(
   T_Channel[[#This Row],[Check]]&lt;&gt;"OK",
   "",
   T_Channel[[#This Row],[ChannelSymbol]] &amp; ".evtx"
)</f>
        <v/>
      </c>
      <c r="V402" s="20" t="str">
        <f>IF(
   T_Channel[[#This Row],[Check]]&lt;&gt;"OK",
   "",
   T_Channel[[#This Row],[LogFolder]] &amp; "\" &amp; T_Channel[[#This Row],[LogFile]]
)</f>
        <v/>
      </c>
      <c r="W402" s="20" t="str">
        <f>IF(
   T_Channel[[#This Row],[Safekeeping of logs]]="",
   "",
   VLOOKUP(T_Channel[[#This Row],[Safekeeping of logs]],T_List_LogMode[],2,FALSE)
)</f>
        <v/>
      </c>
      <c r="X402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403" spans="2:24" x14ac:dyDescent="0.45">
      <c r="B403" s="7"/>
      <c r="C403" s="7"/>
      <c r="D403" s="7"/>
      <c r="E403" s="7"/>
      <c r="F403" s="6"/>
      <c r="G403" s="6"/>
      <c r="H403" s="6"/>
      <c r="I403" s="6"/>
      <c r="J403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403" s="21"/>
      <c r="L403" s="7"/>
      <c r="M403" s="41"/>
      <c r="N403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403" s="26" t="str">
        <f>IF(
   T_Channel[[#This Row],[ProviderName]]="",
   "",
   COUNTIF($N$12:$N$9982,T_Channel[[#This Row],[ProviderName]])
)</f>
        <v/>
      </c>
      <c r="P403" s="26" t="str">
        <f>IF(
   T_Channel[[#This Row],[Check]]&lt;&gt;"OK",
   "",
   IF(
      T_Channel[[#This Row],[Query]]="",
      "Empty",
      "Defined"
   )
)</f>
        <v/>
      </c>
      <c r="Q403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403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403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40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403" s="20" t="str">
        <f>IF(
   T_Channel[[#This Row],[Check]]&lt;&gt;"OK",
   "",
   T_Channel[[#This Row],[ChannelSymbol]] &amp; ".evtx"
)</f>
        <v/>
      </c>
      <c r="V403" s="20" t="str">
        <f>IF(
   T_Channel[[#This Row],[Check]]&lt;&gt;"OK",
   "",
   T_Channel[[#This Row],[LogFolder]] &amp; "\" &amp; T_Channel[[#This Row],[LogFile]]
)</f>
        <v/>
      </c>
      <c r="W403" s="20" t="str">
        <f>IF(
   T_Channel[[#This Row],[Safekeeping of logs]]="",
   "",
   VLOOKUP(T_Channel[[#This Row],[Safekeeping of logs]],T_List_LogMode[],2,FALSE)
)</f>
        <v/>
      </c>
      <c r="X403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404" spans="2:24" x14ac:dyDescent="0.45">
      <c r="B404" s="7"/>
      <c r="C404" s="7"/>
      <c r="D404" s="7"/>
      <c r="E404" s="7"/>
      <c r="F404" s="6"/>
      <c r="G404" s="6"/>
      <c r="H404" s="6"/>
      <c r="I404" s="6"/>
      <c r="J404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404" s="21"/>
      <c r="L404" s="7"/>
      <c r="M404" s="41"/>
      <c r="N404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404" s="26" t="str">
        <f>IF(
   T_Channel[[#This Row],[ProviderName]]="",
   "",
   COUNTIF($N$12:$N$9982,T_Channel[[#This Row],[ProviderName]])
)</f>
        <v/>
      </c>
      <c r="P404" s="26" t="str">
        <f>IF(
   T_Channel[[#This Row],[Check]]&lt;&gt;"OK",
   "",
   IF(
      T_Channel[[#This Row],[Query]]="",
      "Empty",
      "Defined"
   )
)</f>
        <v/>
      </c>
      <c r="Q404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404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404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40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404" s="20" t="str">
        <f>IF(
   T_Channel[[#This Row],[Check]]&lt;&gt;"OK",
   "",
   T_Channel[[#This Row],[ChannelSymbol]] &amp; ".evtx"
)</f>
        <v/>
      </c>
      <c r="V404" s="20" t="str">
        <f>IF(
   T_Channel[[#This Row],[Check]]&lt;&gt;"OK",
   "",
   T_Channel[[#This Row],[LogFolder]] &amp; "\" &amp; T_Channel[[#This Row],[LogFile]]
)</f>
        <v/>
      </c>
      <c r="W404" s="20" t="str">
        <f>IF(
   T_Channel[[#This Row],[Safekeeping of logs]]="",
   "",
   VLOOKUP(T_Channel[[#This Row],[Safekeeping of logs]],T_List_LogMode[],2,FALSE)
)</f>
        <v/>
      </c>
      <c r="X404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405" spans="2:24" x14ac:dyDescent="0.45">
      <c r="B405" s="7"/>
      <c r="C405" s="7"/>
      <c r="D405" s="7"/>
      <c r="E405" s="7"/>
      <c r="F405" s="6"/>
      <c r="G405" s="6"/>
      <c r="H405" s="6"/>
      <c r="I405" s="6"/>
      <c r="J405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405" s="21"/>
      <c r="L405" s="7"/>
      <c r="M405" s="41"/>
      <c r="N405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405" s="26" t="str">
        <f>IF(
   T_Channel[[#This Row],[ProviderName]]="",
   "",
   COUNTIF($N$12:$N$9982,T_Channel[[#This Row],[ProviderName]])
)</f>
        <v/>
      </c>
      <c r="P405" s="26" t="str">
        <f>IF(
   T_Channel[[#This Row],[Check]]&lt;&gt;"OK",
   "",
   IF(
      T_Channel[[#This Row],[Query]]="",
      "Empty",
      "Defined"
   )
)</f>
        <v/>
      </c>
      <c r="Q405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405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405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40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405" s="20" t="str">
        <f>IF(
   T_Channel[[#This Row],[Check]]&lt;&gt;"OK",
   "",
   T_Channel[[#This Row],[ChannelSymbol]] &amp; ".evtx"
)</f>
        <v/>
      </c>
      <c r="V405" s="20" t="str">
        <f>IF(
   T_Channel[[#This Row],[Check]]&lt;&gt;"OK",
   "",
   T_Channel[[#This Row],[LogFolder]] &amp; "\" &amp; T_Channel[[#This Row],[LogFile]]
)</f>
        <v/>
      </c>
      <c r="W405" s="20" t="str">
        <f>IF(
   T_Channel[[#This Row],[Safekeeping of logs]]="",
   "",
   VLOOKUP(T_Channel[[#This Row],[Safekeeping of logs]],T_List_LogMode[],2,FALSE)
)</f>
        <v/>
      </c>
      <c r="X405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406" spans="2:24" x14ac:dyDescent="0.45">
      <c r="B406" s="7"/>
      <c r="C406" s="7"/>
      <c r="D406" s="7"/>
      <c r="E406" s="7"/>
      <c r="F406" s="6"/>
      <c r="G406" s="6"/>
      <c r="H406" s="6"/>
      <c r="I406" s="6"/>
      <c r="J406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406" s="21"/>
      <c r="L406" s="7"/>
      <c r="M406" s="41"/>
      <c r="N406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406" s="26" t="str">
        <f>IF(
   T_Channel[[#This Row],[ProviderName]]="",
   "",
   COUNTIF($N$12:$N$9982,T_Channel[[#This Row],[ProviderName]])
)</f>
        <v/>
      </c>
      <c r="P406" s="26" t="str">
        <f>IF(
   T_Channel[[#This Row],[Check]]&lt;&gt;"OK",
   "",
   IF(
      T_Channel[[#This Row],[Query]]="",
      "Empty",
      "Defined"
   )
)</f>
        <v/>
      </c>
      <c r="Q406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406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406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40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406" s="20" t="str">
        <f>IF(
   T_Channel[[#This Row],[Check]]&lt;&gt;"OK",
   "",
   T_Channel[[#This Row],[ChannelSymbol]] &amp; ".evtx"
)</f>
        <v/>
      </c>
      <c r="V406" s="20" t="str">
        <f>IF(
   T_Channel[[#This Row],[Check]]&lt;&gt;"OK",
   "",
   T_Channel[[#This Row],[LogFolder]] &amp; "\" &amp; T_Channel[[#This Row],[LogFile]]
)</f>
        <v/>
      </c>
      <c r="W406" s="20" t="str">
        <f>IF(
   T_Channel[[#This Row],[Safekeeping of logs]]="",
   "",
   VLOOKUP(T_Channel[[#This Row],[Safekeeping of logs]],T_List_LogMode[],2,FALSE)
)</f>
        <v/>
      </c>
      <c r="X406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407" spans="2:24" x14ac:dyDescent="0.45">
      <c r="B407" s="7"/>
      <c r="C407" s="7"/>
      <c r="D407" s="7"/>
      <c r="E407" s="7"/>
      <c r="F407" s="6"/>
      <c r="G407" s="6"/>
      <c r="H407" s="6"/>
      <c r="I407" s="6"/>
      <c r="J407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407" s="21"/>
      <c r="L407" s="7"/>
      <c r="M407" s="41"/>
      <c r="N407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407" s="26" t="str">
        <f>IF(
   T_Channel[[#This Row],[ProviderName]]="",
   "",
   COUNTIF($N$12:$N$9982,T_Channel[[#This Row],[ProviderName]])
)</f>
        <v/>
      </c>
      <c r="P407" s="26" t="str">
        <f>IF(
   T_Channel[[#This Row],[Check]]&lt;&gt;"OK",
   "",
   IF(
      T_Channel[[#This Row],[Query]]="",
      "Empty",
      "Defined"
   )
)</f>
        <v/>
      </c>
      <c r="Q407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407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407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40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407" s="20" t="str">
        <f>IF(
   T_Channel[[#This Row],[Check]]&lt;&gt;"OK",
   "",
   T_Channel[[#This Row],[ChannelSymbol]] &amp; ".evtx"
)</f>
        <v/>
      </c>
      <c r="V407" s="20" t="str">
        <f>IF(
   T_Channel[[#This Row],[Check]]&lt;&gt;"OK",
   "",
   T_Channel[[#This Row],[LogFolder]] &amp; "\" &amp; T_Channel[[#This Row],[LogFile]]
)</f>
        <v/>
      </c>
      <c r="W407" s="20" t="str">
        <f>IF(
   T_Channel[[#This Row],[Safekeeping of logs]]="",
   "",
   VLOOKUP(T_Channel[[#This Row],[Safekeeping of logs]],T_List_LogMode[],2,FALSE)
)</f>
        <v/>
      </c>
      <c r="X407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408" spans="2:24" x14ac:dyDescent="0.45">
      <c r="B408" s="7"/>
      <c r="C408" s="7"/>
      <c r="D408" s="7"/>
      <c r="E408" s="7"/>
      <c r="F408" s="6"/>
      <c r="G408" s="6"/>
      <c r="H408" s="6"/>
      <c r="I408" s="6"/>
      <c r="J408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408" s="21"/>
      <c r="L408" s="7"/>
      <c r="M408" s="41"/>
      <c r="N408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408" s="26" t="str">
        <f>IF(
   T_Channel[[#This Row],[ProviderName]]="",
   "",
   COUNTIF($N$12:$N$9982,T_Channel[[#This Row],[ProviderName]])
)</f>
        <v/>
      </c>
      <c r="P408" s="26" t="str">
        <f>IF(
   T_Channel[[#This Row],[Check]]&lt;&gt;"OK",
   "",
   IF(
      T_Channel[[#This Row],[Query]]="",
      "Empty",
      "Defined"
   )
)</f>
        <v/>
      </c>
      <c r="Q408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408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408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40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408" s="20" t="str">
        <f>IF(
   T_Channel[[#This Row],[Check]]&lt;&gt;"OK",
   "",
   T_Channel[[#This Row],[ChannelSymbol]] &amp; ".evtx"
)</f>
        <v/>
      </c>
      <c r="V408" s="20" t="str">
        <f>IF(
   T_Channel[[#This Row],[Check]]&lt;&gt;"OK",
   "",
   T_Channel[[#This Row],[LogFolder]] &amp; "\" &amp; T_Channel[[#This Row],[LogFile]]
)</f>
        <v/>
      </c>
      <c r="W408" s="20" t="str">
        <f>IF(
   T_Channel[[#This Row],[Safekeeping of logs]]="",
   "",
   VLOOKUP(T_Channel[[#This Row],[Safekeeping of logs]],T_List_LogMode[],2,FALSE)
)</f>
        <v/>
      </c>
      <c r="X408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409" spans="2:24" x14ac:dyDescent="0.45">
      <c r="B409" s="7"/>
      <c r="C409" s="7"/>
      <c r="D409" s="7"/>
      <c r="E409" s="7"/>
      <c r="F409" s="6"/>
      <c r="G409" s="6"/>
      <c r="H409" s="6"/>
      <c r="I409" s="6"/>
      <c r="J409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409" s="21"/>
      <c r="L409" s="7"/>
      <c r="M409" s="41"/>
      <c r="N409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409" s="26" t="str">
        <f>IF(
   T_Channel[[#This Row],[ProviderName]]="",
   "",
   COUNTIF($N$12:$N$9982,T_Channel[[#This Row],[ProviderName]])
)</f>
        <v/>
      </c>
      <c r="P409" s="26" t="str">
        <f>IF(
   T_Channel[[#This Row],[Check]]&lt;&gt;"OK",
   "",
   IF(
      T_Channel[[#This Row],[Query]]="",
      "Empty",
      "Defined"
   )
)</f>
        <v/>
      </c>
      <c r="Q409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409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409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40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409" s="20" t="str">
        <f>IF(
   T_Channel[[#This Row],[Check]]&lt;&gt;"OK",
   "",
   T_Channel[[#This Row],[ChannelSymbol]] &amp; ".evtx"
)</f>
        <v/>
      </c>
      <c r="V409" s="20" t="str">
        <f>IF(
   T_Channel[[#This Row],[Check]]&lt;&gt;"OK",
   "",
   T_Channel[[#This Row],[LogFolder]] &amp; "\" &amp; T_Channel[[#This Row],[LogFile]]
)</f>
        <v/>
      </c>
      <c r="W409" s="20" t="str">
        <f>IF(
   T_Channel[[#This Row],[Safekeeping of logs]]="",
   "",
   VLOOKUP(T_Channel[[#This Row],[Safekeeping of logs]],T_List_LogMode[],2,FALSE)
)</f>
        <v/>
      </c>
      <c r="X409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410" spans="2:24" x14ac:dyDescent="0.45">
      <c r="B410" s="7"/>
      <c r="C410" s="7"/>
      <c r="D410" s="7"/>
      <c r="E410" s="7"/>
      <c r="F410" s="6"/>
      <c r="G410" s="6"/>
      <c r="H410" s="6"/>
      <c r="I410" s="6"/>
      <c r="J410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410" s="21"/>
      <c r="L410" s="7"/>
      <c r="M410" s="41"/>
      <c r="N410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410" s="26" t="str">
        <f>IF(
   T_Channel[[#This Row],[ProviderName]]="",
   "",
   COUNTIF($N$12:$N$9982,T_Channel[[#This Row],[ProviderName]])
)</f>
        <v/>
      </c>
      <c r="P410" s="26" t="str">
        <f>IF(
   T_Channel[[#This Row],[Check]]&lt;&gt;"OK",
   "",
   IF(
      T_Channel[[#This Row],[Query]]="",
      "Empty",
      "Defined"
   )
)</f>
        <v/>
      </c>
      <c r="Q410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410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410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41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410" s="20" t="str">
        <f>IF(
   T_Channel[[#This Row],[Check]]&lt;&gt;"OK",
   "",
   T_Channel[[#This Row],[ChannelSymbol]] &amp; ".evtx"
)</f>
        <v/>
      </c>
      <c r="V410" s="20" t="str">
        <f>IF(
   T_Channel[[#This Row],[Check]]&lt;&gt;"OK",
   "",
   T_Channel[[#This Row],[LogFolder]] &amp; "\" &amp; T_Channel[[#This Row],[LogFile]]
)</f>
        <v/>
      </c>
      <c r="W410" s="20" t="str">
        <f>IF(
   T_Channel[[#This Row],[Safekeeping of logs]]="",
   "",
   VLOOKUP(T_Channel[[#This Row],[Safekeeping of logs]],T_List_LogMode[],2,FALSE)
)</f>
        <v/>
      </c>
      <c r="X410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411" spans="2:24" x14ac:dyDescent="0.45">
      <c r="B411" s="7"/>
      <c r="C411" s="7"/>
      <c r="D411" s="7"/>
      <c r="E411" s="7"/>
      <c r="F411" s="6"/>
      <c r="G411" s="6"/>
      <c r="H411" s="6"/>
      <c r="I411" s="6"/>
      <c r="J411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411" s="21"/>
      <c r="L411" s="7"/>
      <c r="M411" s="41"/>
      <c r="N411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411" s="26" t="str">
        <f>IF(
   T_Channel[[#This Row],[ProviderName]]="",
   "",
   COUNTIF($N$12:$N$9982,T_Channel[[#This Row],[ProviderName]])
)</f>
        <v/>
      </c>
      <c r="P411" s="26" t="str">
        <f>IF(
   T_Channel[[#This Row],[Check]]&lt;&gt;"OK",
   "",
   IF(
      T_Channel[[#This Row],[Query]]="",
      "Empty",
      "Defined"
   )
)</f>
        <v/>
      </c>
      <c r="Q411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411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411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41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411" s="20" t="str">
        <f>IF(
   T_Channel[[#This Row],[Check]]&lt;&gt;"OK",
   "",
   T_Channel[[#This Row],[ChannelSymbol]] &amp; ".evtx"
)</f>
        <v/>
      </c>
      <c r="V411" s="20" t="str">
        <f>IF(
   T_Channel[[#This Row],[Check]]&lt;&gt;"OK",
   "",
   T_Channel[[#This Row],[LogFolder]] &amp; "\" &amp; T_Channel[[#This Row],[LogFile]]
)</f>
        <v/>
      </c>
      <c r="W411" s="20" t="str">
        <f>IF(
   T_Channel[[#This Row],[Safekeeping of logs]]="",
   "",
   VLOOKUP(T_Channel[[#This Row],[Safekeeping of logs]],T_List_LogMode[],2,FALSE)
)</f>
        <v/>
      </c>
      <c r="X411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412" spans="2:24" x14ac:dyDescent="0.45">
      <c r="B412" s="7"/>
      <c r="C412" s="7"/>
      <c r="D412" s="7"/>
      <c r="E412" s="7"/>
      <c r="F412" s="6"/>
      <c r="G412" s="6"/>
      <c r="H412" s="6"/>
      <c r="I412" s="6"/>
      <c r="J412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412" s="21"/>
      <c r="L412" s="7"/>
      <c r="M412" s="41"/>
      <c r="N412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412" s="26" t="str">
        <f>IF(
   T_Channel[[#This Row],[ProviderName]]="",
   "",
   COUNTIF($N$12:$N$9982,T_Channel[[#This Row],[ProviderName]])
)</f>
        <v/>
      </c>
      <c r="P412" s="26" t="str">
        <f>IF(
   T_Channel[[#This Row],[Check]]&lt;&gt;"OK",
   "",
   IF(
      T_Channel[[#This Row],[Query]]="",
      "Empty",
      "Defined"
   )
)</f>
        <v/>
      </c>
      <c r="Q412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412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412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41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412" s="20" t="str">
        <f>IF(
   T_Channel[[#This Row],[Check]]&lt;&gt;"OK",
   "",
   T_Channel[[#This Row],[ChannelSymbol]] &amp; ".evtx"
)</f>
        <v/>
      </c>
      <c r="V412" s="20" t="str">
        <f>IF(
   T_Channel[[#This Row],[Check]]&lt;&gt;"OK",
   "",
   T_Channel[[#This Row],[LogFolder]] &amp; "\" &amp; T_Channel[[#This Row],[LogFile]]
)</f>
        <v/>
      </c>
      <c r="W412" s="20" t="str">
        <f>IF(
   T_Channel[[#This Row],[Safekeeping of logs]]="",
   "",
   VLOOKUP(T_Channel[[#This Row],[Safekeeping of logs]],T_List_LogMode[],2,FALSE)
)</f>
        <v/>
      </c>
      <c r="X412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413" spans="2:24" x14ac:dyDescent="0.45">
      <c r="B413" s="7"/>
      <c r="C413" s="7"/>
      <c r="D413" s="7"/>
      <c r="E413" s="7"/>
      <c r="F413" s="6"/>
      <c r="G413" s="6"/>
      <c r="H413" s="6"/>
      <c r="I413" s="6"/>
      <c r="J413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413" s="21"/>
      <c r="L413" s="7"/>
      <c r="M413" s="41"/>
      <c r="N413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413" s="26" t="str">
        <f>IF(
   T_Channel[[#This Row],[ProviderName]]="",
   "",
   COUNTIF($N$12:$N$9982,T_Channel[[#This Row],[ProviderName]])
)</f>
        <v/>
      </c>
      <c r="P413" s="26" t="str">
        <f>IF(
   T_Channel[[#This Row],[Check]]&lt;&gt;"OK",
   "",
   IF(
      T_Channel[[#This Row],[Query]]="",
      "Empty",
      "Defined"
   )
)</f>
        <v/>
      </c>
      <c r="Q413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413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413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41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413" s="20" t="str">
        <f>IF(
   T_Channel[[#This Row],[Check]]&lt;&gt;"OK",
   "",
   T_Channel[[#This Row],[ChannelSymbol]] &amp; ".evtx"
)</f>
        <v/>
      </c>
      <c r="V413" s="20" t="str">
        <f>IF(
   T_Channel[[#This Row],[Check]]&lt;&gt;"OK",
   "",
   T_Channel[[#This Row],[LogFolder]] &amp; "\" &amp; T_Channel[[#This Row],[LogFile]]
)</f>
        <v/>
      </c>
      <c r="W413" s="20" t="str">
        <f>IF(
   T_Channel[[#This Row],[Safekeeping of logs]]="",
   "",
   VLOOKUP(T_Channel[[#This Row],[Safekeeping of logs]],T_List_LogMode[],2,FALSE)
)</f>
        <v/>
      </c>
      <c r="X413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414" spans="2:24" x14ac:dyDescent="0.45">
      <c r="B414" s="7"/>
      <c r="C414" s="7"/>
      <c r="D414" s="7"/>
      <c r="E414" s="7"/>
      <c r="F414" s="6"/>
      <c r="G414" s="6"/>
      <c r="H414" s="6"/>
      <c r="I414" s="6"/>
      <c r="J414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414" s="21"/>
      <c r="L414" s="7"/>
      <c r="M414" s="41"/>
      <c r="N414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414" s="26" t="str">
        <f>IF(
   T_Channel[[#This Row],[ProviderName]]="",
   "",
   COUNTIF($N$12:$N$9982,T_Channel[[#This Row],[ProviderName]])
)</f>
        <v/>
      </c>
      <c r="P414" s="26" t="str">
        <f>IF(
   T_Channel[[#This Row],[Check]]&lt;&gt;"OK",
   "",
   IF(
      T_Channel[[#This Row],[Query]]="",
      "Empty",
      "Defined"
   )
)</f>
        <v/>
      </c>
      <c r="Q414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414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414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41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414" s="20" t="str">
        <f>IF(
   T_Channel[[#This Row],[Check]]&lt;&gt;"OK",
   "",
   T_Channel[[#This Row],[ChannelSymbol]] &amp; ".evtx"
)</f>
        <v/>
      </c>
      <c r="V414" s="20" t="str">
        <f>IF(
   T_Channel[[#This Row],[Check]]&lt;&gt;"OK",
   "",
   T_Channel[[#This Row],[LogFolder]] &amp; "\" &amp; T_Channel[[#This Row],[LogFile]]
)</f>
        <v/>
      </c>
      <c r="W414" s="20" t="str">
        <f>IF(
   T_Channel[[#This Row],[Safekeeping of logs]]="",
   "",
   VLOOKUP(T_Channel[[#This Row],[Safekeeping of logs]],T_List_LogMode[],2,FALSE)
)</f>
        <v/>
      </c>
      <c r="X414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415" spans="2:24" x14ac:dyDescent="0.45">
      <c r="B415" s="7"/>
      <c r="C415" s="7"/>
      <c r="D415" s="7"/>
      <c r="E415" s="7"/>
      <c r="F415" s="6"/>
      <c r="G415" s="6"/>
      <c r="H415" s="6"/>
      <c r="I415" s="6"/>
      <c r="J415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415" s="21"/>
      <c r="L415" s="7"/>
      <c r="M415" s="41"/>
      <c r="N415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415" s="26" t="str">
        <f>IF(
   T_Channel[[#This Row],[ProviderName]]="",
   "",
   COUNTIF($N$12:$N$9982,T_Channel[[#This Row],[ProviderName]])
)</f>
        <v/>
      </c>
      <c r="P415" s="26" t="str">
        <f>IF(
   T_Channel[[#This Row],[Check]]&lt;&gt;"OK",
   "",
   IF(
      T_Channel[[#This Row],[Query]]="",
      "Empty",
      "Defined"
   )
)</f>
        <v/>
      </c>
      <c r="Q415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415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415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41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415" s="20" t="str">
        <f>IF(
   T_Channel[[#This Row],[Check]]&lt;&gt;"OK",
   "",
   T_Channel[[#This Row],[ChannelSymbol]] &amp; ".evtx"
)</f>
        <v/>
      </c>
      <c r="V415" s="20" t="str">
        <f>IF(
   T_Channel[[#This Row],[Check]]&lt;&gt;"OK",
   "",
   T_Channel[[#This Row],[LogFolder]] &amp; "\" &amp; T_Channel[[#This Row],[LogFile]]
)</f>
        <v/>
      </c>
      <c r="W415" s="20" t="str">
        <f>IF(
   T_Channel[[#This Row],[Safekeeping of logs]]="",
   "",
   VLOOKUP(T_Channel[[#This Row],[Safekeeping of logs]],T_List_LogMode[],2,FALSE)
)</f>
        <v/>
      </c>
      <c r="X415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416" spans="2:24" x14ac:dyDescent="0.45">
      <c r="B416" s="7"/>
      <c r="C416" s="7"/>
      <c r="D416" s="7"/>
      <c r="E416" s="7"/>
      <c r="F416" s="6"/>
      <c r="G416" s="6"/>
      <c r="H416" s="6"/>
      <c r="I416" s="6"/>
      <c r="J416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416" s="21"/>
      <c r="L416" s="7"/>
      <c r="M416" s="41"/>
      <c r="N416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416" s="26" t="str">
        <f>IF(
   T_Channel[[#This Row],[ProviderName]]="",
   "",
   COUNTIF($N$12:$N$9982,T_Channel[[#This Row],[ProviderName]])
)</f>
        <v/>
      </c>
      <c r="P416" s="26" t="str">
        <f>IF(
   T_Channel[[#This Row],[Check]]&lt;&gt;"OK",
   "",
   IF(
      T_Channel[[#This Row],[Query]]="",
      "Empty",
      "Defined"
   )
)</f>
        <v/>
      </c>
      <c r="Q416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416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416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41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416" s="20" t="str">
        <f>IF(
   T_Channel[[#This Row],[Check]]&lt;&gt;"OK",
   "",
   T_Channel[[#This Row],[ChannelSymbol]] &amp; ".evtx"
)</f>
        <v/>
      </c>
      <c r="V416" s="20" t="str">
        <f>IF(
   T_Channel[[#This Row],[Check]]&lt;&gt;"OK",
   "",
   T_Channel[[#This Row],[LogFolder]] &amp; "\" &amp; T_Channel[[#This Row],[LogFile]]
)</f>
        <v/>
      </c>
      <c r="W416" s="20" t="str">
        <f>IF(
   T_Channel[[#This Row],[Safekeeping of logs]]="",
   "",
   VLOOKUP(T_Channel[[#This Row],[Safekeeping of logs]],T_List_LogMode[],2,FALSE)
)</f>
        <v/>
      </c>
      <c r="X416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417" spans="2:24" x14ac:dyDescent="0.45">
      <c r="B417" s="7"/>
      <c r="C417" s="7"/>
      <c r="D417" s="7"/>
      <c r="E417" s="7"/>
      <c r="F417" s="6"/>
      <c r="G417" s="6"/>
      <c r="H417" s="6"/>
      <c r="I417" s="6"/>
      <c r="J417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417" s="21"/>
      <c r="L417" s="7"/>
      <c r="M417" s="41"/>
      <c r="N417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417" s="26" t="str">
        <f>IF(
   T_Channel[[#This Row],[ProviderName]]="",
   "",
   COUNTIF($N$12:$N$9982,T_Channel[[#This Row],[ProviderName]])
)</f>
        <v/>
      </c>
      <c r="P417" s="26" t="str">
        <f>IF(
   T_Channel[[#This Row],[Check]]&lt;&gt;"OK",
   "",
   IF(
      T_Channel[[#This Row],[Query]]="",
      "Empty",
      "Defined"
   )
)</f>
        <v/>
      </c>
      <c r="Q417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417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417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41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417" s="20" t="str">
        <f>IF(
   T_Channel[[#This Row],[Check]]&lt;&gt;"OK",
   "",
   T_Channel[[#This Row],[ChannelSymbol]] &amp; ".evtx"
)</f>
        <v/>
      </c>
      <c r="V417" s="20" t="str">
        <f>IF(
   T_Channel[[#This Row],[Check]]&lt;&gt;"OK",
   "",
   T_Channel[[#This Row],[LogFolder]] &amp; "\" &amp; T_Channel[[#This Row],[LogFile]]
)</f>
        <v/>
      </c>
      <c r="W417" s="20" t="str">
        <f>IF(
   T_Channel[[#This Row],[Safekeeping of logs]]="",
   "",
   VLOOKUP(T_Channel[[#This Row],[Safekeeping of logs]],T_List_LogMode[],2,FALSE)
)</f>
        <v/>
      </c>
      <c r="X417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418" spans="2:24" x14ac:dyDescent="0.45">
      <c r="B418" s="7"/>
      <c r="C418" s="7"/>
      <c r="D418" s="7"/>
      <c r="E418" s="7"/>
      <c r="F418" s="6"/>
      <c r="G418" s="6"/>
      <c r="H418" s="6"/>
      <c r="I418" s="6"/>
      <c r="J418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418" s="21"/>
      <c r="L418" s="7"/>
      <c r="M418" s="41"/>
      <c r="N418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418" s="26" t="str">
        <f>IF(
   T_Channel[[#This Row],[ProviderName]]="",
   "",
   COUNTIF($N$12:$N$9982,T_Channel[[#This Row],[ProviderName]])
)</f>
        <v/>
      </c>
      <c r="P418" s="26" t="str">
        <f>IF(
   T_Channel[[#This Row],[Check]]&lt;&gt;"OK",
   "",
   IF(
      T_Channel[[#This Row],[Query]]="",
      "Empty",
      "Defined"
   )
)</f>
        <v/>
      </c>
      <c r="Q418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418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418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41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418" s="20" t="str">
        <f>IF(
   T_Channel[[#This Row],[Check]]&lt;&gt;"OK",
   "",
   T_Channel[[#This Row],[ChannelSymbol]] &amp; ".evtx"
)</f>
        <v/>
      </c>
      <c r="V418" s="20" t="str">
        <f>IF(
   T_Channel[[#This Row],[Check]]&lt;&gt;"OK",
   "",
   T_Channel[[#This Row],[LogFolder]] &amp; "\" &amp; T_Channel[[#This Row],[LogFile]]
)</f>
        <v/>
      </c>
      <c r="W418" s="20" t="str">
        <f>IF(
   T_Channel[[#This Row],[Safekeeping of logs]]="",
   "",
   VLOOKUP(T_Channel[[#This Row],[Safekeeping of logs]],T_List_LogMode[],2,FALSE)
)</f>
        <v/>
      </c>
      <c r="X418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419" spans="2:24" x14ac:dyDescent="0.45">
      <c r="B419" s="7"/>
      <c r="C419" s="7"/>
      <c r="D419" s="7"/>
      <c r="E419" s="7"/>
      <c r="F419" s="6"/>
      <c r="G419" s="6"/>
      <c r="H419" s="6"/>
      <c r="I419" s="6"/>
      <c r="J419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419" s="21"/>
      <c r="L419" s="7"/>
      <c r="M419" s="41"/>
      <c r="N419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419" s="26" t="str">
        <f>IF(
   T_Channel[[#This Row],[ProviderName]]="",
   "",
   COUNTIF($N$12:$N$9982,T_Channel[[#This Row],[ProviderName]])
)</f>
        <v/>
      </c>
      <c r="P419" s="26" t="str">
        <f>IF(
   T_Channel[[#This Row],[Check]]&lt;&gt;"OK",
   "",
   IF(
      T_Channel[[#This Row],[Query]]="",
      "Empty",
      "Defined"
   )
)</f>
        <v/>
      </c>
      <c r="Q419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419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419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41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419" s="20" t="str">
        <f>IF(
   T_Channel[[#This Row],[Check]]&lt;&gt;"OK",
   "",
   T_Channel[[#This Row],[ChannelSymbol]] &amp; ".evtx"
)</f>
        <v/>
      </c>
      <c r="V419" s="20" t="str">
        <f>IF(
   T_Channel[[#This Row],[Check]]&lt;&gt;"OK",
   "",
   T_Channel[[#This Row],[LogFolder]] &amp; "\" &amp; T_Channel[[#This Row],[LogFile]]
)</f>
        <v/>
      </c>
      <c r="W419" s="20" t="str">
        <f>IF(
   T_Channel[[#This Row],[Safekeeping of logs]]="",
   "",
   VLOOKUP(T_Channel[[#This Row],[Safekeeping of logs]],T_List_LogMode[],2,FALSE)
)</f>
        <v/>
      </c>
      <c r="X419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420" spans="2:24" x14ac:dyDescent="0.45">
      <c r="B420" s="7"/>
      <c r="C420" s="7"/>
      <c r="D420" s="7"/>
      <c r="E420" s="7"/>
      <c r="F420" s="6"/>
      <c r="G420" s="6"/>
      <c r="H420" s="6"/>
      <c r="I420" s="6"/>
      <c r="J420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420" s="21"/>
      <c r="L420" s="7"/>
      <c r="M420" s="41"/>
      <c r="N420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420" s="26" t="str">
        <f>IF(
   T_Channel[[#This Row],[ProviderName]]="",
   "",
   COUNTIF($N$12:$N$9982,T_Channel[[#This Row],[ProviderName]])
)</f>
        <v/>
      </c>
      <c r="P420" s="26" t="str">
        <f>IF(
   T_Channel[[#This Row],[Check]]&lt;&gt;"OK",
   "",
   IF(
      T_Channel[[#This Row],[Query]]="",
      "Empty",
      "Defined"
   )
)</f>
        <v/>
      </c>
      <c r="Q420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420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420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42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420" s="20" t="str">
        <f>IF(
   T_Channel[[#This Row],[Check]]&lt;&gt;"OK",
   "",
   T_Channel[[#This Row],[ChannelSymbol]] &amp; ".evtx"
)</f>
        <v/>
      </c>
      <c r="V420" s="20" t="str">
        <f>IF(
   T_Channel[[#This Row],[Check]]&lt;&gt;"OK",
   "",
   T_Channel[[#This Row],[LogFolder]] &amp; "\" &amp; T_Channel[[#This Row],[LogFile]]
)</f>
        <v/>
      </c>
      <c r="W420" s="20" t="str">
        <f>IF(
   T_Channel[[#This Row],[Safekeeping of logs]]="",
   "",
   VLOOKUP(T_Channel[[#This Row],[Safekeeping of logs]],T_List_LogMode[],2,FALSE)
)</f>
        <v/>
      </c>
      <c r="X420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421" spans="2:24" x14ac:dyDescent="0.45">
      <c r="B421" s="7"/>
      <c r="C421" s="7"/>
      <c r="D421" s="7"/>
      <c r="E421" s="7"/>
      <c r="F421" s="6"/>
      <c r="G421" s="6"/>
      <c r="H421" s="6"/>
      <c r="I421" s="6"/>
      <c r="J421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421" s="21"/>
      <c r="L421" s="7"/>
      <c r="M421" s="41"/>
      <c r="N421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421" s="26" t="str">
        <f>IF(
   T_Channel[[#This Row],[ProviderName]]="",
   "",
   COUNTIF($N$12:$N$9982,T_Channel[[#This Row],[ProviderName]])
)</f>
        <v/>
      </c>
      <c r="P421" s="26" t="str">
        <f>IF(
   T_Channel[[#This Row],[Check]]&lt;&gt;"OK",
   "",
   IF(
      T_Channel[[#This Row],[Query]]="",
      "Empty",
      "Defined"
   )
)</f>
        <v/>
      </c>
      <c r="Q421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421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421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42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421" s="20" t="str">
        <f>IF(
   T_Channel[[#This Row],[Check]]&lt;&gt;"OK",
   "",
   T_Channel[[#This Row],[ChannelSymbol]] &amp; ".evtx"
)</f>
        <v/>
      </c>
      <c r="V421" s="20" t="str">
        <f>IF(
   T_Channel[[#This Row],[Check]]&lt;&gt;"OK",
   "",
   T_Channel[[#This Row],[LogFolder]] &amp; "\" &amp; T_Channel[[#This Row],[LogFile]]
)</f>
        <v/>
      </c>
      <c r="W421" s="20" t="str">
        <f>IF(
   T_Channel[[#This Row],[Safekeeping of logs]]="",
   "",
   VLOOKUP(T_Channel[[#This Row],[Safekeeping of logs]],T_List_LogMode[],2,FALSE)
)</f>
        <v/>
      </c>
      <c r="X421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422" spans="2:24" x14ac:dyDescent="0.45">
      <c r="B422" s="7"/>
      <c r="C422" s="7"/>
      <c r="D422" s="7"/>
      <c r="E422" s="7"/>
      <c r="F422" s="6"/>
      <c r="G422" s="6"/>
      <c r="H422" s="6"/>
      <c r="I422" s="6"/>
      <c r="J422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422" s="21"/>
      <c r="L422" s="7"/>
      <c r="M422" s="41"/>
      <c r="N422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422" s="26" t="str">
        <f>IF(
   T_Channel[[#This Row],[ProviderName]]="",
   "",
   COUNTIF($N$12:$N$9982,T_Channel[[#This Row],[ProviderName]])
)</f>
        <v/>
      </c>
      <c r="P422" s="26" t="str">
        <f>IF(
   T_Channel[[#This Row],[Check]]&lt;&gt;"OK",
   "",
   IF(
      T_Channel[[#This Row],[Query]]="",
      "Empty",
      "Defined"
   )
)</f>
        <v/>
      </c>
      <c r="Q422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422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422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42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422" s="20" t="str">
        <f>IF(
   T_Channel[[#This Row],[Check]]&lt;&gt;"OK",
   "",
   T_Channel[[#This Row],[ChannelSymbol]] &amp; ".evtx"
)</f>
        <v/>
      </c>
      <c r="V422" s="20" t="str">
        <f>IF(
   T_Channel[[#This Row],[Check]]&lt;&gt;"OK",
   "",
   T_Channel[[#This Row],[LogFolder]] &amp; "\" &amp; T_Channel[[#This Row],[LogFile]]
)</f>
        <v/>
      </c>
      <c r="W422" s="20" t="str">
        <f>IF(
   T_Channel[[#This Row],[Safekeeping of logs]]="",
   "",
   VLOOKUP(T_Channel[[#This Row],[Safekeeping of logs]],T_List_LogMode[],2,FALSE)
)</f>
        <v/>
      </c>
      <c r="X422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423" spans="2:24" x14ac:dyDescent="0.45">
      <c r="B423" s="7"/>
      <c r="C423" s="7"/>
      <c r="D423" s="7"/>
      <c r="E423" s="7"/>
      <c r="F423" s="6"/>
      <c r="G423" s="6"/>
      <c r="H423" s="6"/>
      <c r="I423" s="6"/>
      <c r="J423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423" s="21"/>
      <c r="L423" s="7"/>
      <c r="M423" s="41"/>
      <c r="N423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423" s="26" t="str">
        <f>IF(
   T_Channel[[#This Row],[ProviderName]]="",
   "",
   COUNTIF($N$12:$N$9982,T_Channel[[#This Row],[ProviderName]])
)</f>
        <v/>
      </c>
      <c r="P423" s="26" t="str">
        <f>IF(
   T_Channel[[#This Row],[Check]]&lt;&gt;"OK",
   "",
   IF(
      T_Channel[[#This Row],[Query]]="",
      "Empty",
      "Defined"
   )
)</f>
        <v/>
      </c>
      <c r="Q423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423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423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42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423" s="20" t="str">
        <f>IF(
   T_Channel[[#This Row],[Check]]&lt;&gt;"OK",
   "",
   T_Channel[[#This Row],[ChannelSymbol]] &amp; ".evtx"
)</f>
        <v/>
      </c>
      <c r="V423" s="20" t="str">
        <f>IF(
   T_Channel[[#This Row],[Check]]&lt;&gt;"OK",
   "",
   T_Channel[[#This Row],[LogFolder]] &amp; "\" &amp; T_Channel[[#This Row],[LogFile]]
)</f>
        <v/>
      </c>
      <c r="W423" s="20" t="str">
        <f>IF(
   T_Channel[[#This Row],[Safekeeping of logs]]="",
   "",
   VLOOKUP(T_Channel[[#This Row],[Safekeeping of logs]],T_List_LogMode[],2,FALSE)
)</f>
        <v/>
      </c>
      <c r="X423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424" spans="2:24" x14ac:dyDescent="0.45">
      <c r="B424" s="7"/>
      <c r="C424" s="7"/>
      <c r="D424" s="7"/>
      <c r="E424" s="7"/>
      <c r="F424" s="6"/>
      <c r="G424" s="6"/>
      <c r="H424" s="6"/>
      <c r="I424" s="6"/>
      <c r="J424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424" s="21"/>
      <c r="L424" s="7"/>
      <c r="M424" s="41"/>
      <c r="N424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424" s="26" t="str">
        <f>IF(
   T_Channel[[#This Row],[ProviderName]]="",
   "",
   COUNTIF($N$12:$N$9982,T_Channel[[#This Row],[ProviderName]])
)</f>
        <v/>
      </c>
      <c r="P424" s="26" t="str">
        <f>IF(
   T_Channel[[#This Row],[Check]]&lt;&gt;"OK",
   "",
   IF(
      T_Channel[[#This Row],[Query]]="",
      "Empty",
      "Defined"
   )
)</f>
        <v/>
      </c>
      <c r="Q424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424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424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42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424" s="20" t="str">
        <f>IF(
   T_Channel[[#This Row],[Check]]&lt;&gt;"OK",
   "",
   T_Channel[[#This Row],[ChannelSymbol]] &amp; ".evtx"
)</f>
        <v/>
      </c>
      <c r="V424" s="20" t="str">
        <f>IF(
   T_Channel[[#This Row],[Check]]&lt;&gt;"OK",
   "",
   T_Channel[[#This Row],[LogFolder]] &amp; "\" &amp; T_Channel[[#This Row],[LogFile]]
)</f>
        <v/>
      </c>
      <c r="W424" s="20" t="str">
        <f>IF(
   T_Channel[[#This Row],[Safekeeping of logs]]="",
   "",
   VLOOKUP(T_Channel[[#This Row],[Safekeeping of logs]],T_List_LogMode[],2,FALSE)
)</f>
        <v/>
      </c>
      <c r="X424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425" spans="2:24" x14ac:dyDescent="0.45">
      <c r="B425" s="7"/>
      <c r="C425" s="7"/>
      <c r="D425" s="7"/>
      <c r="E425" s="7"/>
      <c r="F425" s="6"/>
      <c r="G425" s="6"/>
      <c r="H425" s="6"/>
      <c r="I425" s="6"/>
      <c r="J425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425" s="21"/>
      <c r="L425" s="7"/>
      <c r="M425" s="41"/>
      <c r="N425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425" s="26" t="str">
        <f>IF(
   T_Channel[[#This Row],[ProviderName]]="",
   "",
   COUNTIF($N$12:$N$9982,T_Channel[[#This Row],[ProviderName]])
)</f>
        <v/>
      </c>
      <c r="P425" s="26" t="str">
        <f>IF(
   T_Channel[[#This Row],[Check]]&lt;&gt;"OK",
   "",
   IF(
      T_Channel[[#This Row],[Query]]="",
      "Empty",
      "Defined"
   )
)</f>
        <v/>
      </c>
      <c r="Q425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425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425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42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425" s="20" t="str">
        <f>IF(
   T_Channel[[#This Row],[Check]]&lt;&gt;"OK",
   "",
   T_Channel[[#This Row],[ChannelSymbol]] &amp; ".evtx"
)</f>
        <v/>
      </c>
      <c r="V425" s="20" t="str">
        <f>IF(
   T_Channel[[#This Row],[Check]]&lt;&gt;"OK",
   "",
   T_Channel[[#This Row],[LogFolder]] &amp; "\" &amp; T_Channel[[#This Row],[LogFile]]
)</f>
        <v/>
      </c>
      <c r="W425" s="20" t="str">
        <f>IF(
   T_Channel[[#This Row],[Safekeeping of logs]]="",
   "",
   VLOOKUP(T_Channel[[#This Row],[Safekeeping of logs]],T_List_LogMode[],2,FALSE)
)</f>
        <v/>
      </c>
      <c r="X425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426" spans="2:24" x14ac:dyDescent="0.45">
      <c r="B426" s="7"/>
      <c r="C426" s="7"/>
      <c r="D426" s="7"/>
      <c r="E426" s="7"/>
      <c r="F426" s="6"/>
      <c r="G426" s="6"/>
      <c r="H426" s="6"/>
      <c r="I426" s="6"/>
      <c r="J426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426" s="21"/>
      <c r="L426" s="7"/>
      <c r="M426" s="41"/>
      <c r="N426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426" s="26" t="str">
        <f>IF(
   T_Channel[[#This Row],[ProviderName]]="",
   "",
   COUNTIF($N$12:$N$9982,T_Channel[[#This Row],[ProviderName]])
)</f>
        <v/>
      </c>
      <c r="P426" s="26" t="str">
        <f>IF(
   T_Channel[[#This Row],[Check]]&lt;&gt;"OK",
   "",
   IF(
      T_Channel[[#This Row],[Query]]="",
      "Empty",
      "Defined"
   )
)</f>
        <v/>
      </c>
      <c r="Q426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426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426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42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426" s="20" t="str">
        <f>IF(
   T_Channel[[#This Row],[Check]]&lt;&gt;"OK",
   "",
   T_Channel[[#This Row],[ChannelSymbol]] &amp; ".evtx"
)</f>
        <v/>
      </c>
      <c r="V426" s="20" t="str">
        <f>IF(
   T_Channel[[#This Row],[Check]]&lt;&gt;"OK",
   "",
   T_Channel[[#This Row],[LogFolder]] &amp; "\" &amp; T_Channel[[#This Row],[LogFile]]
)</f>
        <v/>
      </c>
      <c r="W426" s="20" t="str">
        <f>IF(
   T_Channel[[#This Row],[Safekeeping of logs]]="",
   "",
   VLOOKUP(T_Channel[[#This Row],[Safekeeping of logs]],T_List_LogMode[],2,FALSE)
)</f>
        <v/>
      </c>
      <c r="X426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427" spans="2:24" x14ac:dyDescent="0.45">
      <c r="B427" s="7"/>
      <c r="C427" s="7"/>
      <c r="D427" s="7"/>
      <c r="E427" s="7"/>
      <c r="F427" s="6"/>
      <c r="G427" s="6"/>
      <c r="H427" s="6"/>
      <c r="I427" s="6"/>
      <c r="J427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427" s="21"/>
      <c r="L427" s="7"/>
      <c r="M427" s="41"/>
      <c r="N427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427" s="26" t="str">
        <f>IF(
   T_Channel[[#This Row],[ProviderName]]="",
   "",
   COUNTIF($N$12:$N$9982,T_Channel[[#This Row],[ProviderName]])
)</f>
        <v/>
      </c>
      <c r="P427" s="26" t="str">
        <f>IF(
   T_Channel[[#This Row],[Check]]&lt;&gt;"OK",
   "",
   IF(
      T_Channel[[#This Row],[Query]]="",
      "Empty",
      "Defined"
   )
)</f>
        <v/>
      </c>
      <c r="Q427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427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427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42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427" s="20" t="str">
        <f>IF(
   T_Channel[[#This Row],[Check]]&lt;&gt;"OK",
   "",
   T_Channel[[#This Row],[ChannelSymbol]] &amp; ".evtx"
)</f>
        <v/>
      </c>
      <c r="V427" s="20" t="str">
        <f>IF(
   T_Channel[[#This Row],[Check]]&lt;&gt;"OK",
   "",
   T_Channel[[#This Row],[LogFolder]] &amp; "\" &amp; T_Channel[[#This Row],[LogFile]]
)</f>
        <v/>
      </c>
      <c r="W427" s="20" t="str">
        <f>IF(
   T_Channel[[#This Row],[Safekeeping of logs]]="",
   "",
   VLOOKUP(T_Channel[[#This Row],[Safekeeping of logs]],T_List_LogMode[],2,FALSE)
)</f>
        <v/>
      </c>
      <c r="X427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428" spans="2:24" x14ac:dyDescent="0.45">
      <c r="B428" s="7"/>
      <c r="C428" s="7"/>
      <c r="D428" s="7"/>
      <c r="E428" s="7"/>
      <c r="F428" s="6"/>
      <c r="G428" s="6"/>
      <c r="H428" s="6"/>
      <c r="I428" s="6"/>
      <c r="J428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428" s="21"/>
      <c r="L428" s="7"/>
      <c r="M428" s="41"/>
      <c r="N428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428" s="26" t="str">
        <f>IF(
   T_Channel[[#This Row],[ProviderName]]="",
   "",
   COUNTIF($N$12:$N$9982,T_Channel[[#This Row],[ProviderName]])
)</f>
        <v/>
      </c>
      <c r="P428" s="26" t="str">
        <f>IF(
   T_Channel[[#This Row],[Check]]&lt;&gt;"OK",
   "",
   IF(
      T_Channel[[#This Row],[Query]]="",
      "Empty",
      "Defined"
   )
)</f>
        <v/>
      </c>
      <c r="Q428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428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428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42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428" s="20" t="str">
        <f>IF(
   T_Channel[[#This Row],[Check]]&lt;&gt;"OK",
   "",
   T_Channel[[#This Row],[ChannelSymbol]] &amp; ".evtx"
)</f>
        <v/>
      </c>
      <c r="V428" s="20" t="str">
        <f>IF(
   T_Channel[[#This Row],[Check]]&lt;&gt;"OK",
   "",
   T_Channel[[#This Row],[LogFolder]] &amp; "\" &amp; T_Channel[[#This Row],[LogFile]]
)</f>
        <v/>
      </c>
      <c r="W428" s="20" t="str">
        <f>IF(
   T_Channel[[#This Row],[Safekeeping of logs]]="",
   "",
   VLOOKUP(T_Channel[[#This Row],[Safekeeping of logs]],T_List_LogMode[],2,FALSE)
)</f>
        <v/>
      </c>
      <c r="X428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429" spans="2:24" x14ac:dyDescent="0.45">
      <c r="B429" s="7"/>
      <c r="C429" s="7"/>
      <c r="D429" s="7"/>
      <c r="E429" s="7"/>
      <c r="F429" s="6"/>
      <c r="G429" s="6"/>
      <c r="H429" s="6"/>
      <c r="I429" s="6"/>
      <c r="J429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429" s="21"/>
      <c r="L429" s="7"/>
      <c r="M429" s="41"/>
      <c r="N429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429" s="26" t="str">
        <f>IF(
   T_Channel[[#This Row],[ProviderName]]="",
   "",
   COUNTIF($N$12:$N$9982,T_Channel[[#This Row],[ProviderName]])
)</f>
        <v/>
      </c>
      <c r="P429" s="26" t="str">
        <f>IF(
   T_Channel[[#This Row],[Check]]&lt;&gt;"OK",
   "",
   IF(
      T_Channel[[#This Row],[Query]]="",
      "Empty",
      "Defined"
   )
)</f>
        <v/>
      </c>
      <c r="Q429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429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429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42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429" s="20" t="str">
        <f>IF(
   T_Channel[[#This Row],[Check]]&lt;&gt;"OK",
   "",
   T_Channel[[#This Row],[ChannelSymbol]] &amp; ".evtx"
)</f>
        <v/>
      </c>
      <c r="V429" s="20" t="str">
        <f>IF(
   T_Channel[[#This Row],[Check]]&lt;&gt;"OK",
   "",
   T_Channel[[#This Row],[LogFolder]] &amp; "\" &amp; T_Channel[[#This Row],[LogFile]]
)</f>
        <v/>
      </c>
      <c r="W429" s="20" t="str">
        <f>IF(
   T_Channel[[#This Row],[Safekeeping of logs]]="",
   "",
   VLOOKUP(T_Channel[[#This Row],[Safekeeping of logs]],T_List_LogMode[],2,FALSE)
)</f>
        <v/>
      </c>
      <c r="X429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430" spans="2:24" x14ac:dyDescent="0.45">
      <c r="B430" s="7"/>
      <c r="C430" s="7"/>
      <c r="D430" s="7"/>
      <c r="E430" s="7"/>
      <c r="F430" s="6"/>
      <c r="G430" s="6"/>
      <c r="H430" s="6"/>
      <c r="I430" s="6"/>
      <c r="J430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430" s="21"/>
      <c r="L430" s="7"/>
      <c r="M430" s="41"/>
      <c r="N430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430" s="26" t="str">
        <f>IF(
   T_Channel[[#This Row],[ProviderName]]="",
   "",
   COUNTIF($N$12:$N$9982,T_Channel[[#This Row],[ProviderName]])
)</f>
        <v/>
      </c>
      <c r="P430" s="26" t="str">
        <f>IF(
   T_Channel[[#This Row],[Check]]&lt;&gt;"OK",
   "",
   IF(
      T_Channel[[#This Row],[Query]]="",
      "Empty",
      "Defined"
   )
)</f>
        <v/>
      </c>
      <c r="Q430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430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430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43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430" s="20" t="str">
        <f>IF(
   T_Channel[[#This Row],[Check]]&lt;&gt;"OK",
   "",
   T_Channel[[#This Row],[ChannelSymbol]] &amp; ".evtx"
)</f>
        <v/>
      </c>
      <c r="V430" s="20" t="str">
        <f>IF(
   T_Channel[[#This Row],[Check]]&lt;&gt;"OK",
   "",
   T_Channel[[#This Row],[LogFolder]] &amp; "\" &amp; T_Channel[[#This Row],[LogFile]]
)</f>
        <v/>
      </c>
      <c r="W430" s="20" t="str">
        <f>IF(
   T_Channel[[#This Row],[Safekeeping of logs]]="",
   "",
   VLOOKUP(T_Channel[[#This Row],[Safekeeping of logs]],T_List_LogMode[],2,FALSE)
)</f>
        <v/>
      </c>
      <c r="X430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431" spans="2:24" x14ac:dyDescent="0.45">
      <c r="B431" s="7"/>
      <c r="C431" s="7"/>
      <c r="D431" s="7"/>
      <c r="E431" s="7"/>
      <c r="F431" s="6"/>
      <c r="G431" s="6"/>
      <c r="H431" s="6"/>
      <c r="I431" s="6"/>
      <c r="J431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431" s="21"/>
      <c r="L431" s="7"/>
      <c r="M431" s="41"/>
      <c r="N431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431" s="26" t="str">
        <f>IF(
   T_Channel[[#This Row],[ProviderName]]="",
   "",
   COUNTIF($N$12:$N$9982,T_Channel[[#This Row],[ProviderName]])
)</f>
        <v/>
      </c>
      <c r="P431" s="26" t="str">
        <f>IF(
   T_Channel[[#This Row],[Check]]&lt;&gt;"OK",
   "",
   IF(
      T_Channel[[#This Row],[Query]]="",
      "Empty",
      "Defined"
   )
)</f>
        <v/>
      </c>
      <c r="Q431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431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431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43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431" s="20" t="str">
        <f>IF(
   T_Channel[[#This Row],[Check]]&lt;&gt;"OK",
   "",
   T_Channel[[#This Row],[ChannelSymbol]] &amp; ".evtx"
)</f>
        <v/>
      </c>
      <c r="V431" s="20" t="str">
        <f>IF(
   T_Channel[[#This Row],[Check]]&lt;&gt;"OK",
   "",
   T_Channel[[#This Row],[LogFolder]] &amp; "\" &amp; T_Channel[[#This Row],[LogFile]]
)</f>
        <v/>
      </c>
      <c r="W431" s="20" t="str">
        <f>IF(
   T_Channel[[#This Row],[Safekeeping of logs]]="",
   "",
   VLOOKUP(T_Channel[[#This Row],[Safekeeping of logs]],T_List_LogMode[],2,FALSE)
)</f>
        <v/>
      </c>
      <c r="X431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432" spans="2:24" x14ac:dyDescent="0.45">
      <c r="B432" s="7"/>
      <c r="C432" s="7"/>
      <c r="D432" s="7"/>
      <c r="E432" s="7"/>
      <c r="F432" s="6"/>
      <c r="G432" s="6"/>
      <c r="H432" s="6"/>
      <c r="I432" s="6"/>
      <c r="J432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432" s="21"/>
      <c r="L432" s="7"/>
      <c r="M432" s="41"/>
      <c r="N432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432" s="26" t="str">
        <f>IF(
   T_Channel[[#This Row],[ProviderName]]="",
   "",
   COUNTIF($N$12:$N$9982,T_Channel[[#This Row],[ProviderName]])
)</f>
        <v/>
      </c>
      <c r="P432" s="26" t="str">
        <f>IF(
   T_Channel[[#This Row],[Check]]&lt;&gt;"OK",
   "",
   IF(
      T_Channel[[#This Row],[Query]]="",
      "Empty",
      "Defined"
   )
)</f>
        <v/>
      </c>
      <c r="Q432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432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432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43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432" s="20" t="str">
        <f>IF(
   T_Channel[[#This Row],[Check]]&lt;&gt;"OK",
   "",
   T_Channel[[#This Row],[ChannelSymbol]] &amp; ".evtx"
)</f>
        <v/>
      </c>
      <c r="V432" s="20" t="str">
        <f>IF(
   T_Channel[[#This Row],[Check]]&lt;&gt;"OK",
   "",
   T_Channel[[#This Row],[LogFolder]] &amp; "\" &amp; T_Channel[[#This Row],[LogFile]]
)</f>
        <v/>
      </c>
      <c r="W432" s="20" t="str">
        <f>IF(
   T_Channel[[#This Row],[Safekeeping of logs]]="",
   "",
   VLOOKUP(T_Channel[[#This Row],[Safekeeping of logs]],T_List_LogMode[],2,FALSE)
)</f>
        <v/>
      </c>
      <c r="X432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433" spans="2:24" x14ac:dyDescent="0.45">
      <c r="B433" s="7"/>
      <c r="C433" s="7"/>
      <c r="D433" s="7"/>
      <c r="E433" s="7"/>
      <c r="F433" s="6"/>
      <c r="G433" s="6"/>
      <c r="H433" s="6"/>
      <c r="I433" s="6"/>
      <c r="J433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433" s="21"/>
      <c r="L433" s="7"/>
      <c r="M433" s="41"/>
      <c r="N433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433" s="26" t="str">
        <f>IF(
   T_Channel[[#This Row],[ProviderName]]="",
   "",
   COUNTIF($N$12:$N$9982,T_Channel[[#This Row],[ProviderName]])
)</f>
        <v/>
      </c>
      <c r="P433" s="26" t="str">
        <f>IF(
   T_Channel[[#This Row],[Check]]&lt;&gt;"OK",
   "",
   IF(
      T_Channel[[#This Row],[Query]]="",
      "Empty",
      "Defined"
   )
)</f>
        <v/>
      </c>
      <c r="Q433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433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433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43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433" s="20" t="str">
        <f>IF(
   T_Channel[[#This Row],[Check]]&lt;&gt;"OK",
   "",
   T_Channel[[#This Row],[ChannelSymbol]] &amp; ".evtx"
)</f>
        <v/>
      </c>
      <c r="V433" s="20" t="str">
        <f>IF(
   T_Channel[[#This Row],[Check]]&lt;&gt;"OK",
   "",
   T_Channel[[#This Row],[LogFolder]] &amp; "\" &amp; T_Channel[[#This Row],[LogFile]]
)</f>
        <v/>
      </c>
      <c r="W433" s="20" t="str">
        <f>IF(
   T_Channel[[#This Row],[Safekeeping of logs]]="",
   "",
   VLOOKUP(T_Channel[[#This Row],[Safekeeping of logs]],T_List_LogMode[],2,FALSE)
)</f>
        <v/>
      </c>
      <c r="X433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434" spans="2:24" x14ac:dyDescent="0.45">
      <c r="B434" s="7"/>
      <c r="C434" s="7"/>
      <c r="D434" s="7"/>
      <c r="E434" s="7"/>
      <c r="F434" s="6"/>
      <c r="G434" s="6"/>
      <c r="H434" s="6"/>
      <c r="I434" s="6"/>
      <c r="J434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434" s="21"/>
      <c r="L434" s="7"/>
      <c r="M434" s="41"/>
      <c r="N434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434" s="26" t="str">
        <f>IF(
   T_Channel[[#This Row],[ProviderName]]="",
   "",
   COUNTIF($N$12:$N$9982,T_Channel[[#This Row],[ProviderName]])
)</f>
        <v/>
      </c>
      <c r="P434" s="26" t="str">
        <f>IF(
   T_Channel[[#This Row],[Check]]&lt;&gt;"OK",
   "",
   IF(
      T_Channel[[#This Row],[Query]]="",
      "Empty",
      "Defined"
   )
)</f>
        <v/>
      </c>
      <c r="Q434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434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434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43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434" s="20" t="str">
        <f>IF(
   T_Channel[[#This Row],[Check]]&lt;&gt;"OK",
   "",
   T_Channel[[#This Row],[ChannelSymbol]] &amp; ".evtx"
)</f>
        <v/>
      </c>
      <c r="V434" s="20" t="str">
        <f>IF(
   T_Channel[[#This Row],[Check]]&lt;&gt;"OK",
   "",
   T_Channel[[#This Row],[LogFolder]] &amp; "\" &amp; T_Channel[[#This Row],[LogFile]]
)</f>
        <v/>
      </c>
      <c r="W434" s="20" t="str">
        <f>IF(
   T_Channel[[#This Row],[Safekeeping of logs]]="",
   "",
   VLOOKUP(T_Channel[[#This Row],[Safekeeping of logs]],T_List_LogMode[],2,FALSE)
)</f>
        <v/>
      </c>
      <c r="X434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435" spans="2:24" x14ac:dyDescent="0.45">
      <c r="B435" s="7"/>
      <c r="C435" s="7"/>
      <c r="D435" s="7"/>
      <c r="E435" s="7"/>
      <c r="F435" s="6"/>
      <c r="G435" s="6"/>
      <c r="H435" s="6"/>
      <c r="I435" s="6"/>
      <c r="J435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435" s="21"/>
      <c r="L435" s="7"/>
      <c r="M435" s="41"/>
      <c r="N435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435" s="26" t="str">
        <f>IF(
   T_Channel[[#This Row],[ProviderName]]="",
   "",
   COUNTIF($N$12:$N$9982,T_Channel[[#This Row],[ProviderName]])
)</f>
        <v/>
      </c>
      <c r="P435" s="26" t="str">
        <f>IF(
   T_Channel[[#This Row],[Check]]&lt;&gt;"OK",
   "",
   IF(
      T_Channel[[#This Row],[Query]]="",
      "Empty",
      "Defined"
   )
)</f>
        <v/>
      </c>
      <c r="Q435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435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435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43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435" s="20" t="str">
        <f>IF(
   T_Channel[[#This Row],[Check]]&lt;&gt;"OK",
   "",
   T_Channel[[#This Row],[ChannelSymbol]] &amp; ".evtx"
)</f>
        <v/>
      </c>
      <c r="V435" s="20" t="str">
        <f>IF(
   T_Channel[[#This Row],[Check]]&lt;&gt;"OK",
   "",
   T_Channel[[#This Row],[LogFolder]] &amp; "\" &amp; T_Channel[[#This Row],[LogFile]]
)</f>
        <v/>
      </c>
      <c r="W435" s="20" t="str">
        <f>IF(
   T_Channel[[#This Row],[Safekeeping of logs]]="",
   "",
   VLOOKUP(T_Channel[[#This Row],[Safekeeping of logs]],T_List_LogMode[],2,FALSE)
)</f>
        <v/>
      </c>
      <c r="X435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436" spans="2:24" x14ac:dyDescent="0.45">
      <c r="B436" s="7"/>
      <c r="C436" s="7"/>
      <c r="D436" s="7"/>
      <c r="E436" s="7"/>
      <c r="F436" s="6"/>
      <c r="G436" s="6"/>
      <c r="H436" s="6"/>
      <c r="I436" s="6"/>
      <c r="J436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436" s="21"/>
      <c r="L436" s="7"/>
      <c r="M436" s="41"/>
      <c r="N436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436" s="26" t="str">
        <f>IF(
   T_Channel[[#This Row],[ProviderName]]="",
   "",
   COUNTIF($N$12:$N$9982,T_Channel[[#This Row],[ProviderName]])
)</f>
        <v/>
      </c>
      <c r="P436" s="26" t="str">
        <f>IF(
   T_Channel[[#This Row],[Check]]&lt;&gt;"OK",
   "",
   IF(
      T_Channel[[#This Row],[Query]]="",
      "Empty",
      "Defined"
   )
)</f>
        <v/>
      </c>
      <c r="Q436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436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436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43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436" s="20" t="str">
        <f>IF(
   T_Channel[[#This Row],[Check]]&lt;&gt;"OK",
   "",
   T_Channel[[#This Row],[ChannelSymbol]] &amp; ".evtx"
)</f>
        <v/>
      </c>
      <c r="V436" s="20" t="str">
        <f>IF(
   T_Channel[[#This Row],[Check]]&lt;&gt;"OK",
   "",
   T_Channel[[#This Row],[LogFolder]] &amp; "\" &amp; T_Channel[[#This Row],[LogFile]]
)</f>
        <v/>
      </c>
      <c r="W436" s="20" t="str">
        <f>IF(
   T_Channel[[#This Row],[Safekeeping of logs]]="",
   "",
   VLOOKUP(T_Channel[[#This Row],[Safekeeping of logs]],T_List_LogMode[],2,FALSE)
)</f>
        <v/>
      </c>
      <c r="X436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437" spans="2:24" x14ac:dyDescent="0.45">
      <c r="B437" s="7"/>
      <c r="C437" s="7"/>
      <c r="D437" s="7"/>
      <c r="E437" s="7"/>
      <c r="F437" s="6"/>
      <c r="G437" s="6"/>
      <c r="H437" s="6"/>
      <c r="I437" s="6"/>
      <c r="J437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437" s="21"/>
      <c r="L437" s="7"/>
      <c r="M437" s="41"/>
      <c r="N437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437" s="26" t="str">
        <f>IF(
   T_Channel[[#This Row],[ProviderName]]="",
   "",
   COUNTIF($N$12:$N$9982,T_Channel[[#This Row],[ProviderName]])
)</f>
        <v/>
      </c>
      <c r="P437" s="26" t="str">
        <f>IF(
   T_Channel[[#This Row],[Check]]&lt;&gt;"OK",
   "",
   IF(
      T_Channel[[#This Row],[Query]]="",
      "Empty",
      "Defined"
   )
)</f>
        <v/>
      </c>
      <c r="Q437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437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437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43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437" s="20" t="str">
        <f>IF(
   T_Channel[[#This Row],[Check]]&lt;&gt;"OK",
   "",
   T_Channel[[#This Row],[ChannelSymbol]] &amp; ".evtx"
)</f>
        <v/>
      </c>
      <c r="V437" s="20" t="str">
        <f>IF(
   T_Channel[[#This Row],[Check]]&lt;&gt;"OK",
   "",
   T_Channel[[#This Row],[LogFolder]] &amp; "\" &amp; T_Channel[[#This Row],[LogFile]]
)</f>
        <v/>
      </c>
      <c r="W437" s="20" t="str">
        <f>IF(
   T_Channel[[#This Row],[Safekeeping of logs]]="",
   "",
   VLOOKUP(T_Channel[[#This Row],[Safekeeping of logs]],T_List_LogMode[],2,FALSE)
)</f>
        <v/>
      </c>
      <c r="X437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438" spans="2:24" x14ac:dyDescent="0.45">
      <c r="B438" s="7"/>
      <c r="C438" s="7"/>
      <c r="D438" s="7"/>
      <c r="E438" s="7"/>
      <c r="F438" s="6"/>
      <c r="G438" s="6"/>
      <c r="H438" s="6"/>
      <c r="I438" s="6"/>
      <c r="J438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438" s="21"/>
      <c r="L438" s="7"/>
      <c r="M438" s="41"/>
      <c r="N438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438" s="26" t="str">
        <f>IF(
   T_Channel[[#This Row],[ProviderName]]="",
   "",
   COUNTIF($N$12:$N$9982,T_Channel[[#This Row],[ProviderName]])
)</f>
        <v/>
      </c>
      <c r="P438" s="26" t="str">
        <f>IF(
   T_Channel[[#This Row],[Check]]&lt;&gt;"OK",
   "",
   IF(
      T_Channel[[#This Row],[Query]]="",
      "Empty",
      "Defined"
   )
)</f>
        <v/>
      </c>
      <c r="Q438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438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438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43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438" s="20" t="str">
        <f>IF(
   T_Channel[[#This Row],[Check]]&lt;&gt;"OK",
   "",
   T_Channel[[#This Row],[ChannelSymbol]] &amp; ".evtx"
)</f>
        <v/>
      </c>
      <c r="V438" s="20" t="str">
        <f>IF(
   T_Channel[[#This Row],[Check]]&lt;&gt;"OK",
   "",
   T_Channel[[#This Row],[LogFolder]] &amp; "\" &amp; T_Channel[[#This Row],[LogFile]]
)</f>
        <v/>
      </c>
      <c r="W438" s="20" t="str">
        <f>IF(
   T_Channel[[#This Row],[Safekeeping of logs]]="",
   "",
   VLOOKUP(T_Channel[[#This Row],[Safekeeping of logs]],T_List_LogMode[],2,FALSE)
)</f>
        <v/>
      </c>
      <c r="X438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439" spans="2:24" x14ac:dyDescent="0.45">
      <c r="B439" s="7"/>
      <c r="C439" s="7"/>
      <c r="D439" s="7"/>
      <c r="E439" s="7"/>
      <c r="F439" s="6"/>
      <c r="G439" s="6"/>
      <c r="H439" s="6"/>
      <c r="I439" s="6"/>
      <c r="J439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439" s="21"/>
      <c r="L439" s="7"/>
      <c r="M439" s="41"/>
      <c r="N439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439" s="26" t="str">
        <f>IF(
   T_Channel[[#This Row],[ProviderName]]="",
   "",
   COUNTIF($N$12:$N$9982,T_Channel[[#This Row],[ProviderName]])
)</f>
        <v/>
      </c>
      <c r="P439" s="26" t="str">
        <f>IF(
   T_Channel[[#This Row],[Check]]&lt;&gt;"OK",
   "",
   IF(
      T_Channel[[#This Row],[Query]]="",
      "Empty",
      "Defined"
   )
)</f>
        <v/>
      </c>
      <c r="Q439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439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439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43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439" s="20" t="str">
        <f>IF(
   T_Channel[[#This Row],[Check]]&lt;&gt;"OK",
   "",
   T_Channel[[#This Row],[ChannelSymbol]] &amp; ".evtx"
)</f>
        <v/>
      </c>
      <c r="V439" s="20" t="str">
        <f>IF(
   T_Channel[[#This Row],[Check]]&lt;&gt;"OK",
   "",
   T_Channel[[#This Row],[LogFolder]] &amp; "\" &amp; T_Channel[[#This Row],[LogFile]]
)</f>
        <v/>
      </c>
      <c r="W439" s="20" t="str">
        <f>IF(
   T_Channel[[#This Row],[Safekeeping of logs]]="",
   "",
   VLOOKUP(T_Channel[[#This Row],[Safekeeping of logs]],T_List_LogMode[],2,FALSE)
)</f>
        <v/>
      </c>
      <c r="X439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440" spans="2:24" x14ac:dyDescent="0.45">
      <c r="B440" s="7"/>
      <c r="C440" s="7"/>
      <c r="D440" s="7"/>
      <c r="E440" s="7"/>
      <c r="F440" s="6"/>
      <c r="G440" s="6"/>
      <c r="H440" s="6"/>
      <c r="I440" s="6"/>
      <c r="J440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440" s="21"/>
      <c r="L440" s="7"/>
      <c r="M440" s="41"/>
      <c r="N440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440" s="26" t="str">
        <f>IF(
   T_Channel[[#This Row],[ProviderName]]="",
   "",
   COUNTIF($N$12:$N$9982,T_Channel[[#This Row],[ProviderName]])
)</f>
        <v/>
      </c>
      <c r="P440" s="26" t="str">
        <f>IF(
   T_Channel[[#This Row],[Check]]&lt;&gt;"OK",
   "",
   IF(
      T_Channel[[#This Row],[Query]]="",
      "Empty",
      "Defined"
   )
)</f>
        <v/>
      </c>
      <c r="Q440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440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440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44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440" s="20" t="str">
        <f>IF(
   T_Channel[[#This Row],[Check]]&lt;&gt;"OK",
   "",
   T_Channel[[#This Row],[ChannelSymbol]] &amp; ".evtx"
)</f>
        <v/>
      </c>
      <c r="V440" s="20" t="str">
        <f>IF(
   T_Channel[[#This Row],[Check]]&lt;&gt;"OK",
   "",
   T_Channel[[#This Row],[LogFolder]] &amp; "\" &amp; T_Channel[[#This Row],[LogFile]]
)</f>
        <v/>
      </c>
      <c r="W440" s="20" t="str">
        <f>IF(
   T_Channel[[#This Row],[Safekeeping of logs]]="",
   "",
   VLOOKUP(T_Channel[[#This Row],[Safekeeping of logs]],T_List_LogMode[],2,FALSE)
)</f>
        <v/>
      </c>
      <c r="X440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441" spans="2:24" x14ac:dyDescent="0.45">
      <c r="B441" s="7"/>
      <c r="C441" s="7"/>
      <c r="D441" s="7"/>
      <c r="E441" s="7"/>
      <c r="F441" s="6"/>
      <c r="G441" s="6"/>
      <c r="H441" s="6"/>
      <c r="I441" s="6"/>
      <c r="J441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441" s="21"/>
      <c r="L441" s="7"/>
      <c r="M441" s="41"/>
      <c r="N441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441" s="26" t="str">
        <f>IF(
   T_Channel[[#This Row],[ProviderName]]="",
   "",
   COUNTIF($N$12:$N$9982,T_Channel[[#This Row],[ProviderName]])
)</f>
        <v/>
      </c>
      <c r="P441" s="26" t="str">
        <f>IF(
   T_Channel[[#This Row],[Check]]&lt;&gt;"OK",
   "",
   IF(
      T_Channel[[#This Row],[Query]]="",
      "Empty",
      "Defined"
   )
)</f>
        <v/>
      </c>
      <c r="Q441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441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441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44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441" s="20" t="str">
        <f>IF(
   T_Channel[[#This Row],[Check]]&lt;&gt;"OK",
   "",
   T_Channel[[#This Row],[ChannelSymbol]] &amp; ".evtx"
)</f>
        <v/>
      </c>
      <c r="V441" s="20" t="str">
        <f>IF(
   T_Channel[[#This Row],[Check]]&lt;&gt;"OK",
   "",
   T_Channel[[#This Row],[LogFolder]] &amp; "\" &amp; T_Channel[[#This Row],[LogFile]]
)</f>
        <v/>
      </c>
      <c r="W441" s="20" t="str">
        <f>IF(
   T_Channel[[#This Row],[Safekeeping of logs]]="",
   "",
   VLOOKUP(T_Channel[[#This Row],[Safekeeping of logs]],T_List_LogMode[],2,FALSE)
)</f>
        <v/>
      </c>
      <c r="X441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442" spans="2:24" x14ac:dyDescent="0.45">
      <c r="B442" s="7"/>
      <c r="C442" s="7"/>
      <c r="D442" s="7"/>
      <c r="E442" s="7"/>
      <c r="F442" s="6"/>
      <c r="G442" s="6"/>
      <c r="H442" s="6"/>
      <c r="I442" s="6"/>
      <c r="J442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442" s="21"/>
      <c r="L442" s="7"/>
      <c r="M442" s="41"/>
      <c r="N442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442" s="26" t="str">
        <f>IF(
   T_Channel[[#This Row],[ProviderName]]="",
   "",
   COUNTIF($N$12:$N$9982,T_Channel[[#This Row],[ProviderName]])
)</f>
        <v/>
      </c>
      <c r="P442" s="26" t="str">
        <f>IF(
   T_Channel[[#This Row],[Check]]&lt;&gt;"OK",
   "",
   IF(
      T_Channel[[#This Row],[Query]]="",
      "Empty",
      "Defined"
   )
)</f>
        <v/>
      </c>
      <c r="Q442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442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442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44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442" s="20" t="str">
        <f>IF(
   T_Channel[[#This Row],[Check]]&lt;&gt;"OK",
   "",
   T_Channel[[#This Row],[ChannelSymbol]] &amp; ".evtx"
)</f>
        <v/>
      </c>
      <c r="V442" s="20" t="str">
        <f>IF(
   T_Channel[[#This Row],[Check]]&lt;&gt;"OK",
   "",
   T_Channel[[#This Row],[LogFolder]] &amp; "\" &amp; T_Channel[[#This Row],[LogFile]]
)</f>
        <v/>
      </c>
      <c r="W442" s="20" t="str">
        <f>IF(
   T_Channel[[#This Row],[Safekeeping of logs]]="",
   "",
   VLOOKUP(T_Channel[[#This Row],[Safekeeping of logs]],T_List_LogMode[],2,FALSE)
)</f>
        <v/>
      </c>
      <c r="X442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443" spans="2:24" x14ac:dyDescent="0.45">
      <c r="B443" s="7"/>
      <c r="C443" s="7"/>
      <c r="D443" s="7"/>
      <c r="E443" s="7"/>
      <c r="F443" s="6"/>
      <c r="G443" s="6"/>
      <c r="H443" s="6"/>
      <c r="I443" s="6"/>
      <c r="J443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443" s="21"/>
      <c r="L443" s="7"/>
      <c r="M443" s="41"/>
      <c r="N443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443" s="26" t="str">
        <f>IF(
   T_Channel[[#This Row],[ProviderName]]="",
   "",
   COUNTIF($N$12:$N$9982,T_Channel[[#This Row],[ProviderName]])
)</f>
        <v/>
      </c>
      <c r="P443" s="26" t="str">
        <f>IF(
   T_Channel[[#This Row],[Check]]&lt;&gt;"OK",
   "",
   IF(
      T_Channel[[#This Row],[Query]]="",
      "Empty",
      "Defined"
   )
)</f>
        <v/>
      </c>
      <c r="Q443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443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443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44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443" s="20" t="str">
        <f>IF(
   T_Channel[[#This Row],[Check]]&lt;&gt;"OK",
   "",
   T_Channel[[#This Row],[ChannelSymbol]] &amp; ".evtx"
)</f>
        <v/>
      </c>
      <c r="V443" s="20" t="str">
        <f>IF(
   T_Channel[[#This Row],[Check]]&lt;&gt;"OK",
   "",
   T_Channel[[#This Row],[LogFolder]] &amp; "\" &amp; T_Channel[[#This Row],[LogFile]]
)</f>
        <v/>
      </c>
      <c r="W443" s="20" t="str">
        <f>IF(
   T_Channel[[#This Row],[Safekeeping of logs]]="",
   "",
   VLOOKUP(T_Channel[[#This Row],[Safekeeping of logs]],T_List_LogMode[],2,FALSE)
)</f>
        <v/>
      </c>
      <c r="X443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444" spans="2:24" x14ac:dyDescent="0.45">
      <c r="B444" s="7"/>
      <c r="C444" s="7"/>
      <c r="D444" s="7"/>
      <c r="E444" s="7"/>
      <c r="F444" s="6"/>
      <c r="G444" s="6"/>
      <c r="H444" s="6"/>
      <c r="I444" s="6"/>
      <c r="J444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444" s="21"/>
      <c r="L444" s="7"/>
      <c r="M444" s="41"/>
      <c r="N444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444" s="26" t="str">
        <f>IF(
   T_Channel[[#This Row],[ProviderName]]="",
   "",
   COUNTIF($N$12:$N$9982,T_Channel[[#This Row],[ProviderName]])
)</f>
        <v/>
      </c>
      <c r="P444" s="26" t="str">
        <f>IF(
   T_Channel[[#This Row],[Check]]&lt;&gt;"OK",
   "",
   IF(
      T_Channel[[#This Row],[Query]]="",
      "Empty",
      "Defined"
   )
)</f>
        <v/>
      </c>
      <c r="Q444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444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444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44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444" s="20" t="str">
        <f>IF(
   T_Channel[[#This Row],[Check]]&lt;&gt;"OK",
   "",
   T_Channel[[#This Row],[ChannelSymbol]] &amp; ".evtx"
)</f>
        <v/>
      </c>
      <c r="V444" s="20" t="str">
        <f>IF(
   T_Channel[[#This Row],[Check]]&lt;&gt;"OK",
   "",
   T_Channel[[#This Row],[LogFolder]] &amp; "\" &amp; T_Channel[[#This Row],[LogFile]]
)</f>
        <v/>
      </c>
      <c r="W444" s="20" t="str">
        <f>IF(
   T_Channel[[#This Row],[Safekeeping of logs]]="",
   "",
   VLOOKUP(T_Channel[[#This Row],[Safekeeping of logs]],T_List_LogMode[],2,FALSE)
)</f>
        <v/>
      </c>
      <c r="X444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445" spans="2:24" x14ac:dyDescent="0.45">
      <c r="B445" s="7"/>
      <c r="C445" s="7"/>
      <c r="D445" s="7"/>
      <c r="E445" s="7"/>
      <c r="F445" s="6"/>
      <c r="G445" s="6"/>
      <c r="H445" s="6"/>
      <c r="I445" s="6"/>
      <c r="J445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445" s="21"/>
      <c r="L445" s="7"/>
      <c r="M445" s="41"/>
      <c r="N445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445" s="26" t="str">
        <f>IF(
   T_Channel[[#This Row],[ProviderName]]="",
   "",
   COUNTIF($N$12:$N$9982,T_Channel[[#This Row],[ProviderName]])
)</f>
        <v/>
      </c>
      <c r="P445" s="26" t="str">
        <f>IF(
   T_Channel[[#This Row],[Check]]&lt;&gt;"OK",
   "",
   IF(
      T_Channel[[#This Row],[Query]]="",
      "Empty",
      "Defined"
   )
)</f>
        <v/>
      </c>
      <c r="Q445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445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445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44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445" s="20" t="str">
        <f>IF(
   T_Channel[[#This Row],[Check]]&lt;&gt;"OK",
   "",
   T_Channel[[#This Row],[ChannelSymbol]] &amp; ".evtx"
)</f>
        <v/>
      </c>
      <c r="V445" s="20" t="str">
        <f>IF(
   T_Channel[[#This Row],[Check]]&lt;&gt;"OK",
   "",
   T_Channel[[#This Row],[LogFolder]] &amp; "\" &amp; T_Channel[[#This Row],[LogFile]]
)</f>
        <v/>
      </c>
      <c r="W445" s="20" t="str">
        <f>IF(
   T_Channel[[#This Row],[Safekeeping of logs]]="",
   "",
   VLOOKUP(T_Channel[[#This Row],[Safekeeping of logs]],T_List_LogMode[],2,FALSE)
)</f>
        <v/>
      </c>
      <c r="X445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446" spans="2:24" x14ac:dyDescent="0.45">
      <c r="B446" s="7"/>
      <c r="C446" s="7"/>
      <c r="D446" s="7"/>
      <c r="E446" s="7"/>
      <c r="F446" s="6"/>
      <c r="G446" s="6"/>
      <c r="H446" s="6"/>
      <c r="I446" s="6"/>
      <c r="J446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446" s="21"/>
      <c r="L446" s="7"/>
      <c r="M446" s="41"/>
      <c r="N446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446" s="26" t="str">
        <f>IF(
   T_Channel[[#This Row],[ProviderName]]="",
   "",
   COUNTIF($N$12:$N$9982,T_Channel[[#This Row],[ProviderName]])
)</f>
        <v/>
      </c>
      <c r="P446" s="26" t="str">
        <f>IF(
   T_Channel[[#This Row],[Check]]&lt;&gt;"OK",
   "",
   IF(
      T_Channel[[#This Row],[Query]]="",
      "Empty",
      "Defined"
   )
)</f>
        <v/>
      </c>
      <c r="Q446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446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446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44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446" s="20" t="str">
        <f>IF(
   T_Channel[[#This Row],[Check]]&lt;&gt;"OK",
   "",
   T_Channel[[#This Row],[ChannelSymbol]] &amp; ".evtx"
)</f>
        <v/>
      </c>
      <c r="V446" s="20" t="str">
        <f>IF(
   T_Channel[[#This Row],[Check]]&lt;&gt;"OK",
   "",
   T_Channel[[#This Row],[LogFolder]] &amp; "\" &amp; T_Channel[[#This Row],[LogFile]]
)</f>
        <v/>
      </c>
      <c r="W446" s="20" t="str">
        <f>IF(
   T_Channel[[#This Row],[Safekeeping of logs]]="",
   "",
   VLOOKUP(T_Channel[[#This Row],[Safekeeping of logs]],T_List_LogMode[],2,FALSE)
)</f>
        <v/>
      </c>
      <c r="X446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447" spans="2:24" x14ac:dyDescent="0.45">
      <c r="B447" s="7"/>
      <c r="C447" s="7"/>
      <c r="D447" s="7"/>
      <c r="E447" s="7"/>
      <c r="F447" s="6"/>
      <c r="G447" s="6"/>
      <c r="H447" s="6"/>
      <c r="I447" s="6"/>
      <c r="J447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447" s="21"/>
      <c r="L447" s="7"/>
      <c r="M447" s="41"/>
      <c r="N447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447" s="26" t="str">
        <f>IF(
   T_Channel[[#This Row],[ProviderName]]="",
   "",
   COUNTIF($N$12:$N$9982,T_Channel[[#This Row],[ProviderName]])
)</f>
        <v/>
      </c>
      <c r="P447" s="26" t="str">
        <f>IF(
   T_Channel[[#This Row],[Check]]&lt;&gt;"OK",
   "",
   IF(
      T_Channel[[#This Row],[Query]]="",
      "Empty",
      "Defined"
   )
)</f>
        <v/>
      </c>
      <c r="Q447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447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447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44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447" s="20" t="str">
        <f>IF(
   T_Channel[[#This Row],[Check]]&lt;&gt;"OK",
   "",
   T_Channel[[#This Row],[ChannelSymbol]] &amp; ".evtx"
)</f>
        <v/>
      </c>
      <c r="V447" s="20" t="str">
        <f>IF(
   T_Channel[[#This Row],[Check]]&lt;&gt;"OK",
   "",
   T_Channel[[#This Row],[LogFolder]] &amp; "\" &amp; T_Channel[[#This Row],[LogFile]]
)</f>
        <v/>
      </c>
      <c r="W447" s="20" t="str">
        <f>IF(
   T_Channel[[#This Row],[Safekeeping of logs]]="",
   "",
   VLOOKUP(T_Channel[[#This Row],[Safekeeping of logs]],T_List_LogMode[],2,FALSE)
)</f>
        <v/>
      </c>
      <c r="X447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448" spans="2:24" x14ac:dyDescent="0.45">
      <c r="B448" s="7"/>
      <c r="C448" s="7"/>
      <c r="D448" s="7"/>
      <c r="E448" s="7"/>
      <c r="F448" s="6"/>
      <c r="G448" s="6"/>
      <c r="H448" s="6"/>
      <c r="I448" s="6"/>
      <c r="J448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448" s="21"/>
      <c r="L448" s="7"/>
      <c r="M448" s="41"/>
      <c r="N448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448" s="26" t="str">
        <f>IF(
   T_Channel[[#This Row],[ProviderName]]="",
   "",
   COUNTIF($N$12:$N$9982,T_Channel[[#This Row],[ProviderName]])
)</f>
        <v/>
      </c>
      <c r="P448" s="26" t="str">
        <f>IF(
   T_Channel[[#This Row],[Check]]&lt;&gt;"OK",
   "",
   IF(
      T_Channel[[#This Row],[Query]]="",
      "Empty",
      "Defined"
   )
)</f>
        <v/>
      </c>
      <c r="Q448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448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448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44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448" s="20" t="str">
        <f>IF(
   T_Channel[[#This Row],[Check]]&lt;&gt;"OK",
   "",
   T_Channel[[#This Row],[ChannelSymbol]] &amp; ".evtx"
)</f>
        <v/>
      </c>
      <c r="V448" s="20" t="str">
        <f>IF(
   T_Channel[[#This Row],[Check]]&lt;&gt;"OK",
   "",
   T_Channel[[#This Row],[LogFolder]] &amp; "\" &amp; T_Channel[[#This Row],[LogFile]]
)</f>
        <v/>
      </c>
      <c r="W448" s="20" t="str">
        <f>IF(
   T_Channel[[#This Row],[Safekeeping of logs]]="",
   "",
   VLOOKUP(T_Channel[[#This Row],[Safekeeping of logs]],T_List_LogMode[],2,FALSE)
)</f>
        <v/>
      </c>
      <c r="X448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449" spans="2:24" x14ac:dyDescent="0.45">
      <c r="B449" s="7"/>
      <c r="C449" s="7"/>
      <c r="D449" s="7"/>
      <c r="E449" s="7"/>
      <c r="F449" s="6"/>
      <c r="G449" s="6"/>
      <c r="H449" s="6"/>
      <c r="I449" s="6"/>
      <c r="J449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449" s="21"/>
      <c r="L449" s="7"/>
      <c r="M449" s="41"/>
      <c r="N449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449" s="26" t="str">
        <f>IF(
   T_Channel[[#This Row],[ProviderName]]="",
   "",
   COUNTIF($N$12:$N$9982,T_Channel[[#This Row],[ProviderName]])
)</f>
        <v/>
      </c>
      <c r="P449" s="26" t="str">
        <f>IF(
   T_Channel[[#This Row],[Check]]&lt;&gt;"OK",
   "",
   IF(
      T_Channel[[#This Row],[Query]]="",
      "Empty",
      "Defined"
   )
)</f>
        <v/>
      </c>
      <c r="Q449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449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449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44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449" s="20" t="str">
        <f>IF(
   T_Channel[[#This Row],[Check]]&lt;&gt;"OK",
   "",
   T_Channel[[#This Row],[ChannelSymbol]] &amp; ".evtx"
)</f>
        <v/>
      </c>
      <c r="V449" s="20" t="str">
        <f>IF(
   T_Channel[[#This Row],[Check]]&lt;&gt;"OK",
   "",
   T_Channel[[#This Row],[LogFolder]] &amp; "\" &amp; T_Channel[[#This Row],[LogFile]]
)</f>
        <v/>
      </c>
      <c r="W449" s="20" t="str">
        <f>IF(
   T_Channel[[#This Row],[Safekeeping of logs]]="",
   "",
   VLOOKUP(T_Channel[[#This Row],[Safekeeping of logs]],T_List_LogMode[],2,FALSE)
)</f>
        <v/>
      </c>
      <c r="X449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450" spans="2:24" x14ac:dyDescent="0.45">
      <c r="B450" s="7"/>
      <c r="C450" s="7"/>
      <c r="D450" s="7"/>
      <c r="E450" s="7"/>
      <c r="F450" s="6"/>
      <c r="G450" s="6"/>
      <c r="H450" s="6"/>
      <c r="I450" s="6"/>
      <c r="J450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450" s="21"/>
      <c r="L450" s="7"/>
      <c r="M450" s="41"/>
      <c r="N450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450" s="26" t="str">
        <f>IF(
   T_Channel[[#This Row],[ProviderName]]="",
   "",
   COUNTIF($N$12:$N$9982,T_Channel[[#This Row],[ProviderName]])
)</f>
        <v/>
      </c>
      <c r="P450" s="26" t="str">
        <f>IF(
   T_Channel[[#This Row],[Check]]&lt;&gt;"OK",
   "",
   IF(
      T_Channel[[#This Row],[Query]]="",
      "Empty",
      "Defined"
   )
)</f>
        <v/>
      </c>
      <c r="Q450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450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450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45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450" s="20" t="str">
        <f>IF(
   T_Channel[[#This Row],[Check]]&lt;&gt;"OK",
   "",
   T_Channel[[#This Row],[ChannelSymbol]] &amp; ".evtx"
)</f>
        <v/>
      </c>
      <c r="V450" s="20" t="str">
        <f>IF(
   T_Channel[[#This Row],[Check]]&lt;&gt;"OK",
   "",
   T_Channel[[#This Row],[LogFolder]] &amp; "\" &amp; T_Channel[[#This Row],[LogFile]]
)</f>
        <v/>
      </c>
      <c r="W450" s="20" t="str">
        <f>IF(
   T_Channel[[#This Row],[Safekeeping of logs]]="",
   "",
   VLOOKUP(T_Channel[[#This Row],[Safekeeping of logs]],T_List_LogMode[],2,FALSE)
)</f>
        <v/>
      </c>
      <c r="X450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451" spans="2:24" x14ac:dyDescent="0.45">
      <c r="B451" s="7"/>
      <c r="C451" s="7"/>
      <c r="D451" s="7"/>
      <c r="E451" s="7"/>
      <c r="F451" s="6"/>
      <c r="G451" s="6"/>
      <c r="H451" s="6"/>
      <c r="I451" s="6"/>
      <c r="J451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451" s="21"/>
      <c r="L451" s="7"/>
      <c r="M451" s="41"/>
      <c r="N451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451" s="26" t="str">
        <f>IF(
   T_Channel[[#This Row],[ProviderName]]="",
   "",
   COUNTIF($N$12:$N$9982,T_Channel[[#This Row],[ProviderName]])
)</f>
        <v/>
      </c>
      <c r="P451" s="26" t="str">
        <f>IF(
   T_Channel[[#This Row],[Check]]&lt;&gt;"OK",
   "",
   IF(
      T_Channel[[#This Row],[Query]]="",
      "Empty",
      "Defined"
   )
)</f>
        <v/>
      </c>
      <c r="Q451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451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451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45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451" s="20" t="str">
        <f>IF(
   T_Channel[[#This Row],[Check]]&lt;&gt;"OK",
   "",
   T_Channel[[#This Row],[ChannelSymbol]] &amp; ".evtx"
)</f>
        <v/>
      </c>
      <c r="V451" s="20" t="str">
        <f>IF(
   T_Channel[[#This Row],[Check]]&lt;&gt;"OK",
   "",
   T_Channel[[#This Row],[LogFolder]] &amp; "\" &amp; T_Channel[[#This Row],[LogFile]]
)</f>
        <v/>
      </c>
      <c r="W451" s="20" t="str">
        <f>IF(
   T_Channel[[#This Row],[Safekeeping of logs]]="",
   "",
   VLOOKUP(T_Channel[[#This Row],[Safekeeping of logs]],T_List_LogMode[],2,FALSE)
)</f>
        <v/>
      </c>
      <c r="X451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452" spans="2:24" x14ac:dyDescent="0.45">
      <c r="B452" s="7"/>
      <c r="C452" s="7"/>
      <c r="D452" s="7"/>
      <c r="E452" s="7"/>
      <c r="F452" s="6"/>
      <c r="G452" s="6"/>
      <c r="H452" s="6"/>
      <c r="I452" s="6"/>
      <c r="J452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452" s="21"/>
      <c r="L452" s="7"/>
      <c r="M452" s="41"/>
      <c r="N452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452" s="26" t="str">
        <f>IF(
   T_Channel[[#This Row],[ProviderName]]="",
   "",
   COUNTIF($N$12:$N$9982,T_Channel[[#This Row],[ProviderName]])
)</f>
        <v/>
      </c>
      <c r="P452" s="26" t="str">
        <f>IF(
   T_Channel[[#This Row],[Check]]&lt;&gt;"OK",
   "",
   IF(
      T_Channel[[#This Row],[Query]]="",
      "Empty",
      "Defined"
   )
)</f>
        <v/>
      </c>
      <c r="Q452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452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452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45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452" s="20" t="str">
        <f>IF(
   T_Channel[[#This Row],[Check]]&lt;&gt;"OK",
   "",
   T_Channel[[#This Row],[ChannelSymbol]] &amp; ".evtx"
)</f>
        <v/>
      </c>
      <c r="V452" s="20" t="str">
        <f>IF(
   T_Channel[[#This Row],[Check]]&lt;&gt;"OK",
   "",
   T_Channel[[#This Row],[LogFolder]] &amp; "\" &amp; T_Channel[[#This Row],[LogFile]]
)</f>
        <v/>
      </c>
      <c r="W452" s="20" t="str">
        <f>IF(
   T_Channel[[#This Row],[Safekeeping of logs]]="",
   "",
   VLOOKUP(T_Channel[[#This Row],[Safekeeping of logs]],T_List_LogMode[],2,FALSE)
)</f>
        <v/>
      </c>
      <c r="X452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453" spans="2:24" x14ac:dyDescent="0.45">
      <c r="B453" s="7"/>
      <c r="C453" s="7"/>
      <c r="D453" s="7"/>
      <c r="E453" s="7"/>
      <c r="F453" s="6"/>
      <c r="G453" s="6"/>
      <c r="H453" s="6"/>
      <c r="I453" s="6"/>
      <c r="J453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453" s="21"/>
      <c r="L453" s="7"/>
      <c r="M453" s="41"/>
      <c r="N453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453" s="26" t="str">
        <f>IF(
   T_Channel[[#This Row],[ProviderName]]="",
   "",
   COUNTIF($N$12:$N$9982,T_Channel[[#This Row],[ProviderName]])
)</f>
        <v/>
      </c>
      <c r="P453" s="26" t="str">
        <f>IF(
   T_Channel[[#This Row],[Check]]&lt;&gt;"OK",
   "",
   IF(
      T_Channel[[#This Row],[Query]]="",
      "Empty",
      "Defined"
   )
)</f>
        <v/>
      </c>
      <c r="Q453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453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453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45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453" s="20" t="str">
        <f>IF(
   T_Channel[[#This Row],[Check]]&lt;&gt;"OK",
   "",
   T_Channel[[#This Row],[ChannelSymbol]] &amp; ".evtx"
)</f>
        <v/>
      </c>
      <c r="V453" s="20" t="str">
        <f>IF(
   T_Channel[[#This Row],[Check]]&lt;&gt;"OK",
   "",
   T_Channel[[#This Row],[LogFolder]] &amp; "\" &amp; T_Channel[[#This Row],[LogFile]]
)</f>
        <v/>
      </c>
      <c r="W453" s="20" t="str">
        <f>IF(
   T_Channel[[#This Row],[Safekeeping of logs]]="",
   "",
   VLOOKUP(T_Channel[[#This Row],[Safekeeping of logs]],T_List_LogMode[],2,FALSE)
)</f>
        <v/>
      </c>
      <c r="X453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454" spans="2:24" x14ac:dyDescent="0.45">
      <c r="B454" s="7"/>
      <c r="C454" s="7"/>
      <c r="D454" s="7"/>
      <c r="E454" s="7"/>
      <c r="F454" s="6"/>
      <c r="G454" s="6"/>
      <c r="H454" s="6"/>
      <c r="I454" s="6"/>
      <c r="J454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454" s="21"/>
      <c r="L454" s="7"/>
      <c r="M454" s="41"/>
      <c r="N454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454" s="26" t="str">
        <f>IF(
   T_Channel[[#This Row],[ProviderName]]="",
   "",
   COUNTIF($N$12:$N$9982,T_Channel[[#This Row],[ProviderName]])
)</f>
        <v/>
      </c>
      <c r="P454" s="26" t="str">
        <f>IF(
   T_Channel[[#This Row],[Check]]&lt;&gt;"OK",
   "",
   IF(
      T_Channel[[#This Row],[Query]]="",
      "Empty",
      "Defined"
   )
)</f>
        <v/>
      </c>
      <c r="Q454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454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454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45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454" s="20" t="str">
        <f>IF(
   T_Channel[[#This Row],[Check]]&lt;&gt;"OK",
   "",
   T_Channel[[#This Row],[ChannelSymbol]] &amp; ".evtx"
)</f>
        <v/>
      </c>
      <c r="V454" s="20" t="str">
        <f>IF(
   T_Channel[[#This Row],[Check]]&lt;&gt;"OK",
   "",
   T_Channel[[#This Row],[LogFolder]] &amp; "\" &amp; T_Channel[[#This Row],[LogFile]]
)</f>
        <v/>
      </c>
      <c r="W454" s="20" t="str">
        <f>IF(
   T_Channel[[#This Row],[Safekeeping of logs]]="",
   "",
   VLOOKUP(T_Channel[[#This Row],[Safekeeping of logs]],T_List_LogMode[],2,FALSE)
)</f>
        <v/>
      </c>
      <c r="X454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455" spans="2:24" x14ac:dyDescent="0.45">
      <c r="B455" s="7"/>
      <c r="C455" s="7"/>
      <c r="D455" s="7"/>
      <c r="E455" s="7"/>
      <c r="F455" s="6"/>
      <c r="G455" s="6"/>
      <c r="H455" s="6"/>
      <c r="I455" s="6"/>
      <c r="J455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455" s="21"/>
      <c r="L455" s="7"/>
      <c r="M455" s="41"/>
      <c r="N455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455" s="26" t="str">
        <f>IF(
   T_Channel[[#This Row],[ProviderName]]="",
   "",
   COUNTIF($N$12:$N$9982,T_Channel[[#This Row],[ProviderName]])
)</f>
        <v/>
      </c>
      <c r="P455" s="26" t="str">
        <f>IF(
   T_Channel[[#This Row],[Check]]&lt;&gt;"OK",
   "",
   IF(
      T_Channel[[#This Row],[Query]]="",
      "Empty",
      "Defined"
   )
)</f>
        <v/>
      </c>
      <c r="Q455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455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455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45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455" s="20" t="str">
        <f>IF(
   T_Channel[[#This Row],[Check]]&lt;&gt;"OK",
   "",
   T_Channel[[#This Row],[ChannelSymbol]] &amp; ".evtx"
)</f>
        <v/>
      </c>
      <c r="V455" s="20" t="str">
        <f>IF(
   T_Channel[[#This Row],[Check]]&lt;&gt;"OK",
   "",
   T_Channel[[#This Row],[LogFolder]] &amp; "\" &amp; T_Channel[[#This Row],[LogFile]]
)</f>
        <v/>
      </c>
      <c r="W455" s="20" t="str">
        <f>IF(
   T_Channel[[#This Row],[Safekeeping of logs]]="",
   "",
   VLOOKUP(T_Channel[[#This Row],[Safekeeping of logs]],T_List_LogMode[],2,FALSE)
)</f>
        <v/>
      </c>
      <c r="X455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456" spans="2:24" x14ac:dyDescent="0.45">
      <c r="B456" s="7"/>
      <c r="C456" s="7"/>
      <c r="D456" s="7"/>
      <c r="E456" s="7"/>
      <c r="F456" s="6"/>
      <c r="G456" s="6"/>
      <c r="H456" s="6"/>
      <c r="I456" s="6"/>
      <c r="J456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456" s="21"/>
      <c r="L456" s="7"/>
      <c r="M456" s="41"/>
      <c r="N456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456" s="26" t="str">
        <f>IF(
   T_Channel[[#This Row],[ProviderName]]="",
   "",
   COUNTIF($N$12:$N$9982,T_Channel[[#This Row],[ProviderName]])
)</f>
        <v/>
      </c>
      <c r="P456" s="26" t="str">
        <f>IF(
   T_Channel[[#This Row],[Check]]&lt;&gt;"OK",
   "",
   IF(
      T_Channel[[#This Row],[Query]]="",
      "Empty",
      "Defined"
   )
)</f>
        <v/>
      </c>
      <c r="Q456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456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456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45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456" s="20" t="str">
        <f>IF(
   T_Channel[[#This Row],[Check]]&lt;&gt;"OK",
   "",
   T_Channel[[#This Row],[ChannelSymbol]] &amp; ".evtx"
)</f>
        <v/>
      </c>
      <c r="V456" s="20" t="str">
        <f>IF(
   T_Channel[[#This Row],[Check]]&lt;&gt;"OK",
   "",
   T_Channel[[#This Row],[LogFolder]] &amp; "\" &amp; T_Channel[[#This Row],[LogFile]]
)</f>
        <v/>
      </c>
      <c r="W456" s="20" t="str">
        <f>IF(
   T_Channel[[#This Row],[Safekeeping of logs]]="",
   "",
   VLOOKUP(T_Channel[[#This Row],[Safekeeping of logs]],T_List_LogMode[],2,FALSE)
)</f>
        <v/>
      </c>
      <c r="X456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457" spans="2:24" x14ac:dyDescent="0.45">
      <c r="B457" s="7"/>
      <c r="C457" s="7"/>
      <c r="D457" s="7"/>
      <c r="E457" s="7"/>
      <c r="F457" s="6"/>
      <c r="G457" s="6"/>
      <c r="H457" s="6"/>
      <c r="I457" s="6"/>
      <c r="J457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457" s="21"/>
      <c r="L457" s="7"/>
      <c r="M457" s="41"/>
      <c r="N457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457" s="26" t="str">
        <f>IF(
   T_Channel[[#This Row],[ProviderName]]="",
   "",
   COUNTIF($N$12:$N$9982,T_Channel[[#This Row],[ProviderName]])
)</f>
        <v/>
      </c>
      <c r="P457" s="26" t="str">
        <f>IF(
   T_Channel[[#This Row],[Check]]&lt;&gt;"OK",
   "",
   IF(
      T_Channel[[#This Row],[Query]]="",
      "Empty",
      "Defined"
   )
)</f>
        <v/>
      </c>
      <c r="Q457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457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457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45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457" s="20" t="str">
        <f>IF(
   T_Channel[[#This Row],[Check]]&lt;&gt;"OK",
   "",
   T_Channel[[#This Row],[ChannelSymbol]] &amp; ".evtx"
)</f>
        <v/>
      </c>
      <c r="V457" s="20" t="str">
        <f>IF(
   T_Channel[[#This Row],[Check]]&lt;&gt;"OK",
   "",
   T_Channel[[#This Row],[LogFolder]] &amp; "\" &amp; T_Channel[[#This Row],[LogFile]]
)</f>
        <v/>
      </c>
      <c r="W457" s="20" t="str">
        <f>IF(
   T_Channel[[#This Row],[Safekeeping of logs]]="",
   "",
   VLOOKUP(T_Channel[[#This Row],[Safekeeping of logs]],T_List_LogMode[],2,FALSE)
)</f>
        <v/>
      </c>
      <c r="X457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458" spans="2:24" x14ac:dyDescent="0.45">
      <c r="B458" s="7"/>
      <c r="C458" s="7"/>
      <c r="D458" s="7"/>
      <c r="E458" s="7"/>
      <c r="F458" s="6"/>
      <c r="G458" s="6"/>
      <c r="H458" s="6"/>
      <c r="I458" s="6"/>
      <c r="J458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458" s="21"/>
      <c r="L458" s="7"/>
      <c r="M458" s="41"/>
      <c r="N458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458" s="26" t="str">
        <f>IF(
   T_Channel[[#This Row],[ProviderName]]="",
   "",
   COUNTIF($N$12:$N$9982,T_Channel[[#This Row],[ProviderName]])
)</f>
        <v/>
      </c>
      <c r="P458" s="26" t="str">
        <f>IF(
   T_Channel[[#This Row],[Check]]&lt;&gt;"OK",
   "",
   IF(
      T_Channel[[#This Row],[Query]]="",
      "Empty",
      "Defined"
   )
)</f>
        <v/>
      </c>
      <c r="Q458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458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458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45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458" s="20" t="str">
        <f>IF(
   T_Channel[[#This Row],[Check]]&lt;&gt;"OK",
   "",
   T_Channel[[#This Row],[ChannelSymbol]] &amp; ".evtx"
)</f>
        <v/>
      </c>
      <c r="V458" s="20" t="str">
        <f>IF(
   T_Channel[[#This Row],[Check]]&lt;&gt;"OK",
   "",
   T_Channel[[#This Row],[LogFolder]] &amp; "\" &amp; T_Channel[[#This Row],[LogFile]]
)</f>
        <v/>
      </c>
      <c r="W458" s="20" t="str">
        <f>IF(
   T_Channel[[#This Row],[Safekeeping of logs]]="",
   "",
   VLOOKUP(T_Channel[[#This Row],[Safekeeping of logs]],T_List_LogMode[],2,FALSE)
)</f>
        <v/>
      </c>
      <c r="X458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459" spans="2:24" x14ac:dyDescent="0.45">
      <c r="B459" s="7"/>
      <c r="C459" s="7"/>
      <c r="D459" s="7"/>
      <c r="E459" s="7"/>
      <c r="F459" s="6"/>
      <c r="G459" s="6"/>
      <c r="H459" s="6"/>
      <c r="I459" s="6"/>
      <c r="J459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459" s="21"/>
      <c r="L459" s="7"/>
      <c r="M459" s="41"/>
      <c r="N459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459" s="26" t="str">
        <f>IF(
   T_Channel[[#This Row],[ProviderName]]="",
   "",
   COUNTIF($N$12:$N$9982,T_Channel[[#This Row],[ProviderName]])
)</f>
        <v/>
      </c>
      <c r="P459" s="26" t="str">
        <f>IF(
   T_Channel[[#This Row],[Check]]&lt;&gt;"OK",
   "",
   IF(
      T_Channel[[#This Row],[Query]]="",
      "Empty",
      "Defined"
   )
)</f>
        <v/>
      </c>
      <c r="Q459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459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459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45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459" s="20" t="str">
        <f>IF(
   T_Channel[[#This Row],[Check]]&lt;&gt;"OK",
   "",
   T_Channel[[#This Row],[ChannelSymbol]] &amp; ".evtx"
)</f>
        <v/>
      </c>
      <c r="V459" s="20" t="str">
        <f>IF(
   T_Channel[[#This Row],[Check]]&lt;&gt;"OK",
   "",
   T_Channel[[#This Row],[LogFolder]] &amp; "\" &amp; T_Channel[[#This Row],[LogFile]]
)</f>
        <v/>
      </c>
      <c r="W459" s="20" t="str">
        <f>IF(
   T_Channel[[#This Row],[Safekeeping of logs]]="",
   "",
   VLOOKUP(T_Channel[[#This Row],[Safekeeping of logs]],T_List_LogMode[],2,FALSE)
)</f>
        <v/>
      </c>
      <c r="X459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460" spans="2:24" x14ac:dyDescent="0.45">
      <c r="B460" s="7"/>
      <c r="C460" s="7"/>
      <c r="D460" s="7"/>
      <c r="E460" s="7"/>
      <c r="F460" s="6"/>
      <c r="G460" s="6"/>
      <c r="H460" s="6"/>
      <c r="I460" s="6"/>
      <c r="J460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460" s="21"/>
      <c r="L460" s="7"/>
      <c r="M460" s="41"/>
      <c r="N460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460" s="26" t="str">
        <f>IF(
   T_Channel[[#This Row],[ProviderName]]="",
   "",
   COUNTIF($N$12:$N$9982,T_Channel[[#This Row],[ProviderName]])
)</f>
        <v/>
      </c>
      <c r="P460" s="26" t="str">
        <f>IF(
   T_Channel[[#This Row],[Check]]&lt;&gt;"OK",
   "",
   IF(
      T_Channel[[#This Row],[Query]]="",
      "Empty",
      "Defined"
   )
)</f>
        <v/>
      </c>
      <c r="Q460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460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460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46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460" s="20" t="str">
        <f>IF(
   T_Channel[[#This Row],[Check]]&lt;&gt;"OK",
   "",
   T_Channel[[#This Row],[ChannelSymbol]] &amp; ".evtx"
)</f>
        <v/>
      </c>
      <c r="V460" s="20" t="str">
        <f>IF(
   T_Channel[[#This Row],[Check]]&lt;&gt;"OK",
   "",
   T_Channel[[#This Row],[LogFolder]] &amp; "\" &amp; T_Channel[[#This Row],[LogFile]]
)</f>
        <v/>
      </c>
      <c r="W460" s="20" t="str">
        <f>IF(
   T_Channel[[#This Row],[Safekeeping of logs]]="",
   "",
   VLOOKUP(T_Channel[[#This Row],[Safekeeping of logs]],T_List_LogMode[],2,FALSE)
)</f>
        <v/>
      </c>
      <c r="X460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461" spans="2:24" x14ac:dyDescent="0.45">
      <c r="B461" s="7"/>
      <c r="C461" s="7"/>
      <c r="D461" s="7"/>
      <c r="E461" s="7"/>
      <c r="F461" s="6"/>
      <c r="G461" s="6"/>
      <c r="H461" s="6"/>
      <c r="I461" s="6"/>
      <c r="J461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461" s="21"/>
      <c r="L461" s="7"/>
      <c r="M461" s="41"/>
      <c r="N461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461" s="26" t="str">
        <f>IF(
   T_Channel[[#This Row],[ProviderName]]="",
   "",
   COUNTIF($N$12:$N$9982,T_Channel[[#This Row],[ProviderName]])
)</f>
        <v/>
      </c>
      <c r="P461" s="26" t="str">
        <f>IF(
   T_Channel[[#This Row],[Check]]&lt;&gt;"OK",
   "",
   IF(
      T_Channel[[#This Row],[Query]]="",
      "Empty",
      "Defined"
   )
)</f>
        <v/>
      </c>
      <c r="Q461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461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461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46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461" s="20" t="str">
        <f>IF(
   T_Channel[[#This Row],[Check]]&lt;&gt;"OK",
   "",
   T_Channel[[#This Row],[ChannelSymbol]] &amp; ".evtx"
)</f>
        <v/>
      </c>
      <c r="V461" s="20" t="str">
        <f>IF(
   T_Channel[[#This Row],[Check]]&lt;&gt;"OK",
   "",
   T_Channel[[#This Row],[LogFolder]] &amp; "\" &amp; T_Channel[[#This Row],[LogFile]]
)</f>
        <v/>
      </c>
      <c r="W461" s="20" t="str">
        <f>IF(
   T_Channel[[#This Row],[Safekeeping of logs]]="",
   "",
   VLOOKUP(T_Channel[[#This Row],[Safekeeping of logs]],T_List_LogMode[],2,FALSE)
)</f>
        <v/>
      </c>
      <c r="X461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462" spans="2:24" x14ac:dyDescent="0.45">
      <c r="B462" s="7"/>
      <c r="C462" s="7"/>
      <c r="D462" s="7"/>
      <c r="E462" s="7"/>
      <c r="F462" s="6"/>
      <c r="G462" s="6"/>
      <c r="H462" s="6"/>
      <c r="I462" s="6"/>
      <c r="J462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462" s="21"/>
      <c r="L462" s="7"/>
      <c r="M462" s="41"/>
      <c r="N462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462" s="26" t="str">
        <f>IF(
   T_Channel[[#This Row],[ProviderName]]="",
   "",
   COUNTIF($N$12:$N$9982,T_Channel[[#This Row],[ProviderName]])
)</f>
        <v/>
      </c>
      <c r="P462" s="26" t="str">
        <f>IF(
   T_Channel[[#This Row],[Check]]&lt;&gt;"OK",
   "",
   IF(
      T_Channel[[#This Row],[Query]]="",
      "Empty",
      "Defined"
   )
)</f>
        <v/>
      </c>
      <c r="Q462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462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462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46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462" s="20" t="str">
        <f>IF(
   T_Channel[[#This Row],[Check]]&lt;&gt;"OK",
   "",
   T_Channel[[#This Row],[ChannelSymbol]] &amp; ".evtx"
)</f>
        <v/>
      </c>
      <c r="V462" s="20" t="str">
        <f>IF(
   T_Channel[[#This Row],[Check]]&lt;&gt;"OK",
   "",
   T_Channel[[#This Row],[LogFolder]] &amp; "\" &amp; T_Channel[[#This Row],[LogFile]]
)</f>
        <v/>
      </c>
      <c r="W462" s="20" t="str">
        <f>IF(
   T_Channel[[#This Row],[Safekeeping of logs]]="",
   "",
   VLOOKUP(T_Channel[[#This Row],[Safekeeping of logs]],T_List_LogMode[],2,FALSE)
)</f>
        <v/>
      </c>
      <c r="X462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463" spans="2:24" x14ac:dyDescent="0.45">
      <c r="B463" s="7"/>
      <c r="C463" s="7"/>
      <c r="D463" s="7"/>
      <c r="E463" s="7"/>
      <c r="F463" s="6"/>
      <c r="G463" s="6"/>
      <c r="H463" s="6"/>
      <c r="I463" s="6"/>
      <c r="J463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463" s="21"/>
      <c r="L463" s="7"/>
      <c r="M463" s="41"/>
      <c r="N463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463" s="26" t="str">
        <f>IF(
   T_Channel[[#This Row],[ProviderName]]="",
   "",
   COUNTIF($N$12:$N$9982,T_Channel[[#This Row],[ProviderName]])
)</f>
        <v/>
      </c>
      <c r="P463" s="26" t="str">
        <f>IF(
   T_Channel[[#This Row],[Check]]&lt;&gt;"OK",
   "",
   IF(
      T_Channel[[#This Row],[Query]]="",
      "Empty",
      "Defined"
   )
)</f>
        <v/>
      </c>
      <c r="Q463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463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463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46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463" s="20" t="str">
        <f>IF(
   T_Channel[[#This Row],[Check]]&lt;&gt;"OK",
   "",
   T_Channel[[#This Row],[ChannelSymbol]] &amp; ".evtx"
)</f>
        <v/>
      </c>
      <c r="V463" s="20" t="str">
        <f>IF(
   T_Channel[[#This Row],[Check]]&lt;&gt;"OK",
   "",
   T_Channel[[#This Row],[LogFolder]] &amp; "\" &amp; T_Channel[[#This Row],[LogFile]]
)</f>
        <v/>
      </c>
      <c r="W463" s="20" t="str">
        <f>IF(
   T_Channel[[#This Row],[Safekeeping of logs]]="",
   "",
   VLOOKUP(T_Channel[[#This Row],[Safekeeping of logs]],T_List_LogMode[],2,FALSE)
)</f>
        <v/>
      </c>
      <c r="X463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464" spans="2:24" x14ac:dyDescent="0.45">
      <c r="B464" s="7"/>
      <c r="C464" s="7"/>
      <c r="D464" s="7"/>
      <c r="E464" s="7"/>
      <c r="F464" s="6"/>
      <c r="G464" s="6"/>
      <c r="H464" s="6"/>
      <c r="I464" s="6"/>
      <c r="J464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464" s="21"/>
      <c r="L464" s="7"/>
      <c r="M464" s="41"/>
      <c r="N464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464" s="26" t="str">
        <f>IF(
   T_Channel[[#This Row],[ProviderName]]="",
   "",
   COUNTIF($N$12:$N$9982,T_Channel[[#This Row],[ProviderName]])
)</f>
        <v/>
      </c>
      <c r="P464" s="26" t="str">
        <f>IF(
   T_Channel[[#This Row],[Check]]&lt;&gt;"OK",
   "",
   IF(
      T_Channel[[#This Row],[Query]]="",
      "Empty",
      "Defined"
   )
)</f>
        <v/>
      </c>
      <c r="Q464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464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464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46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464" s="20" t="str">
        <f>IF(
   T_Channel[[#This Row],[Check]]&lt;&gt;"OK",
   "",
   T_Channel[[#This Row],[ChannelSymbol]] &amp; ".evtx"
)</f>
        <v/>
      </c>
      <c r="V464" s="20" t="str">
        <f>IF(
   T_Channel[[#This Row],[Check]]&lt;&gt;"OK",
   "",
   T_Channel[[#This Row],[LogFolder]] &amp; "\" &amp; T_Channel[[#This Row],[LogFile]]
)</f>
        <v/>
      </c>
      <c r="W464" s="20" t="str">
        <f>IF(
   T_Channel[[#This Row],[Safekeeping of logs]]="",
   "",
   VLOOKUP(T_Channel[[#This Row],[Safekeeping of logs]],T_List_LogMode[],2,FALSE)
)</f>
        <v/>
      </c>
      <c r="X464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465" spans="2:24" x14ac:dyDescent="0.45">
      <c r="B465" s="7"/>
      <c r="C465" s="7"/>
      <c r="D465" s="7"/>
      <c r="E465" s="7"/>
      <c r="F465" s="6"/>
      <c r="G465" s="6"/>
      <c r="H465" s="6"/>
      <c r="I465" s="6"/>
      <c r="J465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465" s="21"/>
      <c r="L465" s="7"/>
      <c r="M465" s="41"/>
      <c r="N465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465" s="26" t="str">
        <f>IF(
   T_Channel[[#This Row],[ProviderName]]="",
   "",
   COUNTIF($N$12:$N$9982,T_Channel[[#This Row],[ProviderName]])
)</f>
        <v/>
      </c>
      <c r="P465" s="26" t="str">
        <f>IF(
   T_Channel[[#This Row],[Check]]&lt;&gt;"OK",
   "",
   IF(
      T_Channel[[#This Row],[Query]]="",
      "Empty",
      "Defined"
   )
)</f>
        <v/>
      </c>
      <c r="Q465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465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465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46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465" s="20" t="str">
        <f>IF(
   T_Channel[[#This Row],[Check]]&lt;&gt;"OK",
   "",
   T_Channel[[#This Row],[ChannelSymbol]] &amp; ".evtx"
)</f>
        <v/>
      </c>
      <c r="V465" s="20" t="str">
        <f>IF(
   T_Channel[[#This Row],[Check]]&lt;&gt;"OK",
   "",
   T_Channel[[#This Row],[LogFolder]] &amp; "\" &amp; T_Channel[[#This Row],[LogFile]]
)</f>
        <v/>
      </c>
      <c r="W465" s="20" t="str">
        <f>IF(
   T_Channel[[#This Row],[Safekeeping of logs]]="",
   "",
   VLOOKUP(T_Channel[[#This Row],[Safekeeping of logs]],T_List_LogMode[],2,FALSE)
)</f>
        <v/>
      </c>
      <c r="X465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466" spans="2:24" x14ac:dyDescent="0.45">
      <c r="B466" s="7"/>
      <c r="C466" s="7"/>
      <c r="D466" s="7"/>
      <c r="E466" s="7"/>
      <c r="F466" s="6"/>
      <c r="G466" s="6"/>
      <c r="H466" s="6"/>
      <c r="I466" s="6"/>
      <c r="J466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466" s="21"/>
      <c r="L466" s="7"/>
      <c r="M466" s="41"/>
      <c r="N466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466" s="26" t="str">
        <f>IF(
   T_Channel[[#This Row],[ProviderName]]="",
   "",
   COUNTIF($N$12:$N$9982,T_Channel[[#This Row],[ProviderName]])
)</f>
        <v/>
      </c>
      <c r="P466" s="26" t="str">
        <f>IF(
   T_Channel[[#This Row],[Check]]&lt;&gt;"OK",
   "",
   IF(
      T_Channel[[#This Row],[Query]]="",
      "Empty",
      "Defined"
   )
)</f>
        <v/>
      </c>
      <c r="Q466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466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466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46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466" s="20" t="str">
        <f>IF(
   T_Channel[[#This Row],[Check]]&lt;&gt;"OK",
   "",
   T_Channel[[#This Row],[ChannelSymbol]] &amp; ".evtx"
)</f>
        <v/>
      </c>
      <c r="V466" s="20" t="str">
        <f>IF(
   T_Channel[[#This Row],[Check]]&lt;&gt;"OK",
   "",
   T_Channel[[#This Row],[LogFolder]] &amp; "\" &amp; T_Channel[[#This Row],[LogFile]]
)</f>
        <v/>
      </c>
      <c r="W466" s="20" t="str">
        <f>IF(
   T_Channel[[#This Row],[Safekeeping of logs]]="",
   "",
   VLOOKUP(T_Channel[[#This Row],[Safekeeping of logs]],T_List_LogMode[],2,FALSE)
)</f>
        <v/>
      </c>
      <c r="X466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467" spans="2:24" x14ac:dyDescent="0.45">
      <c r="B467" s="7"/>
      <c r="C467" s="7"/>
      <c r="D467" s="7"/>
      <c r="E467" s="7"/>
      <c r="F467" s="6"/>
      <c r="G467" s="6"/>
      <c r="H467" s="6"/>
      <c r="I467" s="6"/>
      <c r="J467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467" s="21"/>
      <c r="L467" s="7"/>
      <c r="M467" s="41"/>
      <c r="N467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467" s="26" t="str">
        <f>IF(
   T_Channel[[#This Row],[ProviderName]]="",
   "",
   COUNTIF($N$12:$N$9982,T_Channel[[#This Row],[ProviderName]])
)</f>
        <v/>
      </c>
      <c r="P467" s="26" t="str">
        <f>IF(
   T_Channel[[#This Row],[Check]]&lt;&gt;"OK",
   "",
   IF(
      T_Channel[[#This Row],[Query]]="",
      "Empty",
      "Defined"
   )
)</f>
        <v/>
      </c>
      <c r="Q467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467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467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46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467" s="20" t="str">
        <f>IF(
   T_Channel[[#This Row],[Check]]&lt;&gt;"OK",
   "",
   T_Channel[[#This Row],[ChannelSymbol]] &amp; ".evtx"
)</f>
        <v/>
      </c>
      <c r="V467" s="20" t="str">
        <f>IF(
   T_Channel[[#This Row],[Check]]&lt;&gt;"OK",
   "",
   T_Channel[[#This Row],[LogFolder]] &amp; "\" &amp; T_Channel[[#This Row],[LogFile]]
)</f>
        <v/>
      </c>
      <c r="W467" s="20" t="str">
        <f>IF(
   T_Channel[[#This Row],[Safekeeping of logs]]="",
   "",
   VLOOKUP(T_Channel[[#This Row],[Safekeeping of logs]],T_List_LogMode[],2,FALSE)
)</f>
        <v/>
      </c>
      <c r="X467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468" spans="2:24" x14ac:dyDescent="0.45">
      <c r="B468" s="7"/>
      <c r="C468" s="7"/>
      <c r="D468" s="7"/>
      <c r="E468" s="7"/>
      <c r="F468" s="6"/>
      <c r="G468" s="6"/>
      <c r="H468" s="6"/>
      <c r="I468" s="6"/>
      <c r="J468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468" s="21"/>
      <c r="L468" s="7"/>
      <c r="M468" s="41"/>
      <c r="N468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468" s="26" t="str">
        <f>IF(
   T_Channel[[#This Row],[ProviderName]]="",
   "",
   COUNTIF($N$12:$N$9982,T_Channel[[#This Row],[ProviderName]])
)</f>
        <v/>
      </c>
      <c r="P468" s="26" t="str">
        <f>IF(
   T_Channel[[#This Row],[Check]]&lt;&gt;"OK",
   "",
   IF(
      T_Channel[[#This Row],[Query]]="",
      "Empty",
      "Defined"
   )
)</f>
        <v/>
      </c>
      <c r="Q468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468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468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46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468" s="20" t="str">
        <f>IF(
   T_Channel[[#This Row],[Check]]&lt;&gt;"OK",
   "",
   T_Channel[[#This Row],[ChannelSymbol]] &amp; ".evtx"
)</f>
        <v/>
      </c>
      <c r="V468" s="20" t="str">
        <f>IF(
   T_Channel[[#This Row],[Check]]&lt;&gt;"OK",
   "",
   T_Channel[[#This Row],[LogFolder]] &amp; "\" &amp; T_Channel[[#This Row],[LogFile]]
)</f>
        <v/>
      </c>
      <c r="W468" s="20" t="str">
        <f>IF(
   T_Channel[[#This Row],[Safekeeping of logs]]="",
   "",
   VLOOKUP(T_Channel[[#This Row],[Safekeeping of logs]],T_List_LogMode[],2,FALSE)
)</f>
        <v/>
      </c>
      <c r="X468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469" spans="2:24" x14ac:dyDescent="0.45">
      <c r="B469" s="7"/>
      <c r="C469" s="7"/>
      <c r="D469" s="7"/>
      <c r="E469" s="7"/>
      <c r="F469" s="6"/>
      <c r="G469" s="6"/>
      <c r="H469" s="6"/>
      <c r="I469" s="6"/>
      <c r="J469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469" s="21"/>
      <c r="L469" s="7"/>
      <c r="M469" s="41"/>
      <c r="N469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469" s="26" t="str">
        <f>IF(
   T_Channel[[#This Row],[ProviderName]]="",
   "",
   COUNTIF($N$12:$N$9982,T_Channel[[#This Row],[ProviderName]])
)</f>
        <v/>
      </c>
      <c r="P469" s="26" t="str">
        <f>IF(
   T_Channel[[#This Row],[Check]]&lt;&gt;"OK",
   "",
   IF(
      T_Channel[[#This Row],[Query]]="",
      "Empty",
      "Defined"
   )
)</f>
        <v/>
      </c>
      <c r="Q469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469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469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46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469" s="20" t="str">
        <f>IF(
   T_Channel[[#This Row],[Check]]&lt;&gt;"OK",
   "",
   T_Channel[[#This Row],[ChannelSymbol]] &amp; ".evtx"
)</f>
        <v/>
      </c>
      <c r="V469" s="20" t="str">
        <f>IF(
   T_Channel[[#This Row],[Check]]&lt;&gt;"OK",
   "",
   T_Channel[[#This Row],[LogFolder]] &amp; "\" &amp; T_Channel[[#This Row],[LogFile]]
)</f>
        <v/>
      </c>
      <c r="W469" s="20" t="str">
        <f>IF(
   T_Channel[[#This Row],[Safekeeping of logs]]="",
   "",
   VLOOKUP(T_Channel[[#This Row],[Safekeeping of logs]],T_List_LogMode[],2,FALSE)
)</f>
        <v/>
      </c>
      <c r="X469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470" spans="2:24" x14ac:dyDescent="0.45">
      <c r="B470" s="7"/>
      <c r="C470" s="7"/>
      <c r="D470" s="7"/>
      <c r="E470" s="7"/>
      <c r="F470" s="6"/>
      <c r="G470" s="6"/>
      <c r="H470" s="6"/>
      <c r="I470" s="6"/>
      <c r="J470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470" s="21"/>
      <c r="L470" s="7"/>
      <c r="M470" s="41"/>
      <c r="N470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470" s="26" t="str">
        <f>IF(
   T_Channel[[#This Row],[ProviderName]]="",
   "",
   COUNTIF($N$12:$N$9982,T_Channel[[#This Row],[ProviderName]])
)</f>
        <v/>
      </c>
      <c r="P470" s="26" t="str">
        <f>IF(
   T_Channel[[#This Row],[Check]]&lt;&gt;"OK",
   "",
   IF(
      T_Channel[[#This Row],[Query]]="",
      "Empty",
      "Defined"
   )
)</f>
        <v/>
      </c>
      <c r="Q470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470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470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47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470" s="20" t="str">
        <f>IF(
   T_Channel[[#This Row],[Check]]&lt;&gt;"OK",
   "",
   T_Channel[[#This Row],[ChannelSymbol]] &amp; ".evtx"
)</f>
        <v/>
      </c>
      <c r="V470" s="20" t="str">
        <f>IF(
   T_Channel[[#This Row],[Check]]&lt;&gt;"OK",
   "",
   T_Channel[[#This Row],[LogFolder]] &amp; "\" &amp; T_Channel[[#This Row],[LogFile]]
)</f>
        <v/>
      </c>
      <c r="W470" s="20" t="str">
        <f>IF(
   T_Channel[[#This Row],[Safekeeping of logs]]="",
   "",
   VLOOKUP(T_Channel[[#This Row],[Safekeeping of logs]],T_List_LogMode[],2,FALSE)
)</f>
        <v/>
      </c>
      <c r="X470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471" spans="2:24" x14ac:dyDescent="0.45">
      <c r="B471" s="7"/>
      <c r="C471" s="7"/>
      <c r="D471" s="7"/>
      <c r="E471" s="7"/>
      <c r="F471" s="6"/>
      <c r="G471" s="6"/>
      <c r="H471" s="6"/>
      <c r="I471" s="6"/>
      <c r="J471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471" s="21"/>
      <c r="L471" s="7"/>
      <c r="M471" s="41"/>
      <c r="N471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471" s="26" t="str">
        <f>IF(
   T_Channel[[#This Row],[ProviderName]]="",
   "",
   COUNTIF($N$12:$N$9982,T_Channel[[#This Row],[ProviderName]])
)</f>
        <v/>
      </c>
      <c r="P471" s="26" t="str">
        <f>IF(
   T_Channel[[#This Row],[Check]]&lt;&gt;"OK",
   "",
   IF(
      T_Channel[[#This Row],[Query]]="",
      "Empty",
      "Defined"
   )
)</f>
        <v/>
      </c>
      <c r="Q471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471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471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47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471" s="20" t="str">
        <f>IF(
   T_Channel[[#This Row],[Check]]&lt;&gt;"OK",
   "",
   T_Channel[[#This Row],[ChannelSymbol]] &amp; ".evtx"
)</f>
        <v/>
      </c>
      <c r="V471" s="20" t="str">
        <f>IF(
   T_Channel[[#This Row],[Check]]&lt;&gt;"OK",
   "",
   T_Channel[[#This Row],[LogFolder]] &amp; "\" &amp; T_Channel[[#This Row],[LogFile]]
)</f>
        <v/>
      </c>
      <c r="W471" s="20" t="str">
        <f>IF(
   T_Channel[[#This Row],[Safekeeping of logs]]="",
   "",
   VLOOKUP(T_Channel[[#This Row],[Safekeeping of logs]],T_List_LogMode[],2,FALSE)
)</f>
        <v/>
      </c>
      <c r="X471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472" spans="2:24" x14ac:dyDescent="0.45">
      <c r="B472" s="7"/>
      <c r="C472" s="7"/>
      <c r="D472" s="7"/>
      <c r="E472" s="7"/>
      <c r="F472" s="6"/>
      <c r="G472" s="6"/>
      <c r="H472" s="6"/>
      <c r="I472" s="6"/>
      <c r="J472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472" s="21"/>
      <c r="L472" s="7"/>
      <c r="M472" s="41"/>
      <c r="N472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472" s="26" t="str">
        <f>IF(
   T_Channel[[#This Row],[ProviderName]]="",
   "",
   COUNTIF($N$12:$N$9982,T_Channel[[#This Row],[ProviderName]])
)</f>
        <v/>
      </c>
      <c r="P472" s="26" t="str">
        <f>IF(
   T_Channel[[#This Row],[Check]]&lt;&gt;"OK",
   "",
   IF(
      T_Channel[[#This Row],[Query]]="",
      "Empty",
      "Defined"
   )
)</f>
        <v/>
      </c>
      <c r="Q472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472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472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47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472" s="20" t="str">
        <f>IF(
   T_Channel[[#This Row],[Check]]&lt;&gt;"OK",
   "",
   T_Channel[[#This Row],[ChannelSymbol]] &amp; ".evtx"
)</f>
        <v/>
      </c>
      <c r="V472" s="20" t="str">
        <f>IF(
   T_Channel[[#This Row],[Check]]&lt;&gt;"OK",
   "",
   T_Channel[[#This Row],[LogFolder]] &amp; "\" &amp; T_Channel[[#This Row],[LogFile]]
)</f>
        <v/>
      </c>
      <c r="W472" s="20" t="str">
        <f>IF(
   T_Channel[[#This Row],[Safekeeping of logs]]="",
   "",
   VLOOKUP(T_Channel[[#This Row],[Safekeeping of logs]],T_List_LogMode[],2,FALSE)
)</f>
        <v/>
      </c>
      <c r="X472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473" spans="2:24" x14ac:dyDescent="0.45">
      <c r="B473" s="7"/>
      <c r="C473" s="7"/>
      <c r="D473" s="7"/>
      <c r="E473" s="7"/>
      <c r="F473" s="6"/>
      <c r="G473" s="6"/>
      <c r="H473" s="6"/>
      <c r="I473" s="6"/>
      <c r="J473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473" s="21"/>
      <c r="L473" s="7"/>
      <c r="M473" s="41"/>
      <c r="N473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473" s="26" t="str">
        <f>IF(
   T_Channel[[#This Row],[ProviderName]]="",
   "",
   COUNTIF($N$12:$N$9982,T_Channel[[#This Row],[ProviderName]])
)</f>
        <v/>
      </c>
      <c r="P473" s="26" t="str">
        <f>IF(
   T_Channel[[#This Row],[Check]]&lt;&gt;"OK",
   "",
   IF(
      T_Channel[[#This Row],[Query]]="",
      "Empty",
      "Defined"
   )
)</f>
        <v/>
      </c>
      <c r="Q473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473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473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47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473" s="20" t="str">
        <f>IF(
   T_Channel[[#This Row],[Check]]&lt;&gt;"OK",
   "",
   T_Channel[[#This Row],[ChannelSymbol]] &amp; ".evtx"
)</f>
        <v/>
      </c>
      <c r="V473" s="20" t="str">
        <f>IF(
   T_Channel[[#This Row],[Check]]&lt;&gt;"OK",
   "",
   T_Channel[[#This Row],[LogFolder]] &amp; "\" &amp; T_Channel[[#This Row],[LogFile]]
)</f>
        <v/>
      </c>
      <c r="W473" s="20" t="str">
        <f>IF(
   T_Channel[[#This Row],[Safekeeping of logs]]="",
   "",
   VLOOKUP(T_Channel[[#This Row],[Safekeeping of logs]],T_List_LogMode[],2,FALSE)
)</f>
        <v/>
      </c>
      <c r="X473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474" spans="2:24" x14ac:dyDescent="0.45">
      <c r="B474" s="7"/>
      <c r="C474" s="7"/>
      <c r="D474" s="7"/>
      <c r="E474" s="7"/>
      <c r="F474" s="6"/>
      <c r="G474" s="6"/>
      <c r="H474" s="6"/>
      <c r="I474" s="6"/>
      <c r="J474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474" s="21"/>
      <c r="L474" s="7"/>
      <c r="M474" s="41"/>
      <c r="N474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474" s="26" t="str">
        <f>IF(
   T_Channel[[#This Row],[ProviderName]]="",
   "",
   COUNTIF($N$12:$N$9982,T_Channel[[#This Row],[ProviderName]])
)</f>
        <v/>
      </c>
      <c r="P474" s="26" t="str">
        <f>IF(
   T_Channel[[#This Row],[Check]]&lt;&gt;"OK",
   "",
   IF(
      T_Channel[[#This Row],[Query]]="",
      "Empty",
      "Defined"
   )
)</f>
        <v/>
      </c>
      <c r="Q474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474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474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47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474" s="20" t="str">
        <f>IF(
   T_Channel[[#This Row],[Check]]&lt;&gt;"OK",
   "",
   T_Channel[[#This Row],[ChannelSymbol]] &amp; ".evtx"
)</f>
        <v/>
      </c>
      <c r="V474" s="20" t="str">
        <f>IF(
   T_Channel[[#This Row],[Check]]&lt;&gt;"OK",
   "",
   T_Channel[[#This Row],[LogFolder]] &amp; "\" &amp; T_Channel[[#This Row],[LogFile]]
)</f>
        <v/>
      </c>
      <c r="W474" s="20" t="str">
        <f>IF(
   T_Channel[[#This Row],[Safekeeping of logs]]="",
   "",
   VLOOKUP(T_Channel[[#This Row],[Safekeeping of logs]],T_List_LogMode[],2,FALSE)
)</f>
        <v/>
      </c>
      <c r="X474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475" spans="2:24" x14ac:dyDescent="0.45">
      <c r="B475" s="7"/>
      <c r="C475" s="7"/>
      <c r="D475" s="7"/>
      <c r="E475" s="7"/>
      <c r="F475" s="6"/>
      <c r="G475" s="6"/>
      <c r="H475" s="6"/>
      <c r="I475" s="6"/>
      <c r="J475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475" s="21"/>
      <c r="L475" s="7"/>
      <c r="M475" s="41"/>
      <c r="N475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475" s="26" t="str">
        <f>IF(
   T_Channel[[#This Row],[ProviderName]]="",
   "",
   COUNTIF($N$12:$N$9982,T_Channel[[#This Row],[ProviderName]])
)</f>
        <v/>
      </c>
      <c r="P475" s="26" t="str">
        <f>IF(
   T_Channel[[#This Row],[Check]]&lt;&gt;"OK",
   "",
   IF(
      T_Channel[[#This Row],[Query]]="",
      "Empty",
      "Defined"
   )
)</f>
        <v/>
      </c>
      <c r="Q475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475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475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47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475" s="20" t="str">
        <f>IF(
   T_Channel[[#This Row],[Check]]&lt;&gt;"OK",
   "",
   T_Channel[[#This Row],[ChannelSymbol]] &amp; ".evtx"
)</f>
        <v/>
      </c>
      <c r="V475" s="20" t="str">
        <f>IF(
   T_Channel[[#This Row],[Check]]&lt;&gt;"OK",
   "",
   T_Channel[[#This Row],[LogFolder]] &amp; "\" &amp; T_Channel[[#This Row],[LogFile]]
)</f>
        <v/>
      </c>
      <c r="W475" s="20" t="str">
        <f>IF(
   T_Channel[[#This Row],[Safekeeping of logs]]="",
   "",
   VLOOKUP(T_Channel[[#This Row],[Safekeeping of logs]],T_List_LogMode[],2,FALSE)
)</f>
        <v/>
      </c>
      <c r="X475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476" spans="2:24" x14ac:dyDescent="0.45">
      <c r="B476" s="7"/>
      <c r="C476" s="7"/>
      <c r="D476" s="7"/>
      <c r="E476" s="7"/>
      <c r="F476" s="6"/>
      <c r="G476" s="6"/>
      <c r="H476" s="6"/>
      <c r="I476" s="6"/>
      <c r="J476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476" s="21"/>
      <c r="L476" s="7"/>
      <c r="M476" s="41"/>
      <c r="N476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476" s="26" t="str">
        <f>IF(
   T_Channel[[#This Row],[ProviderName]]="",
   "",
   COUNTIF($N$12:$N$9982,T_Channel[[#This Row],[ProviderName]])
)</f>
        <v/>
      </c>
      <c r="P476" s="26" t="str">
        <f>IF(
   T_Channel[[#This Row],[Check]]&lt;&gt;"OK",
   "",
   IF(
      T_Channel[[#This Row],[Query]]="",
      "Empty",
      "Defined"
   )
)</f>
        <v/>
      </c>
      <c r="Q476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476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476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47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476" s="20" t="str">
        <f>IF(
   T_Channel[[#This Row],[Check]]&lt;&gt;"OK",
   "",
   T_Channel[[#This Row],[ChannelSymbol]] &amp; ".evtx"
)</f>
        <v/>
      </c>
      <c r="V476" s="20" t="str">
        <f>IF(
   T_Channel[[#This Row],[Check]]&lt;&gt;"OK",
   "",
   T_Channel[[#This Row],[LogFolder]] &amp; "\" &amp; T_Channel[[#This Row],[LogFile]]
)</f>
        <v/>
      </c>
      <c r="W476" s="20" t="str">
        <f>IF(
   T_Channel[[#This Row],[Safekeeping of logs]]="",
   "",
   VLOOKUP(T_Channel[[#This Row],[Safekeeping of logs]],T_List_LogMode[],2,FALSE)
)</f>
        <v/>
      </c>
      <c r="X476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477" spans="2:24" x14ac:dyDescent="0.45">
      <c r="B477" s="7"/>
      <c r="C477" s="7"/>
      <c r="D477" s="7"/>
      <c r="E477" s="7"/>
      <c r="F477" s="6"/>
      <c r="G477" s="6"/>
      <c r="H477" s="6"/>
      <c r="I477" s="6"/>
      <c r="J477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477" s="21"/>
      <c r="L477" s="7"/>
      <c r="M477" s="41"/>
      <c r="N477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477" s="26" t="str">
        <f>IF(
   T_Channel[[#This Row],[ProviderName]]="",
   "",
   COUNTIF($N$12:$N$9982,T_Channel[[#This Row],[ProviderName]])
)</f>
        <v/>
      </c>
      <c r="P477" s="26" t="str">
        <f>IF(
   T_Channel[[#This Row],[Check]]&lt;&gt;"OK",
   "",
   IF(
      T_Channel[[#This Row],[Query]]="",
      "Empty",
      "Defined"
   )
)</f>
        <v/>
      </c>
      <c r="Q477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477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477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47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477" s="20" t="str">
        <f>IF(
   T_Channel[[#This Row],[Check]]&lt;&gt;"OK",
   "",
   T_Channel[[#This Row],[ChannelSymbol]] &amp; ".evtx"
)</f>
        <v/>
      </c>
      <c r="V477" s="20" t="str">
        <f>IF(
   T_Channel[[#This Row],[Check]]&lt;&gt;"OK",
   "",
   T_Channel[[#This Row],[LogFolder]] &amp; "\" &amp; T_Channel[[#This Row],[LogFile]]
)</f>
        <v/>
      </c>
      <c r="W477" s="20" t="str">
        <f>IF(
   T_Channel[[#This Row],[Safekeeping of logs]]="",
   "",
   VLOOKUP(T_Channel[[#This Row],[Safekeeping of logs]],T_List_LogMode[],2,FALSE)
)</f>
        <v/>
      </c>
      <c r="X477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478" spans="2:24" x14ac:dyDescent="0.45">
      <c r="B478" s="7"/>
      <c r="C478" s="7"/>
      <c r="D478" s="7"/>
      <c r="E478" s="7"/>
      <c r="F478" s="6"/>
      <c r="G478" s="6"/>
      <c r="H478" s="6"/>
      <c r="I478" s="6"/>
      <c r="J478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478" s="21"/>
      <c r="L478" s="7"/>
      <c r="M478" s="41"/>
      <c r="N478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478" s="26" t="str">
        <f>IF(
   T_Channel[[#This Row],[ProviderName]]="",
   "",
   COUNTIF($N$12:$N$9982,T_Channel[[#This Row],[ProviderName]])
)</f>
        <v/>
      </c>
      <c r="P478" s="26" t="str">
        <f>IF(
   T_Channel[[#This Row],[Check]]&lt;&gt;"OK",
   "",
   IF(
      T_Channel[[#This Row],[Query]]="",
      "Empty",
      "Defined"
   )
)</f>
        <v/>
      </c>
      <c r="Q478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478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478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47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478" s="20" t="str">
        <f>IF(
   T_Channel[[#This Row],[Check]]&lt;&gt;"OK",
   "",
   T_Channel[[#This Row],[ChannelSymbol]] &amp; ".evtx"
)</f>
        <v/>
      </c>
      <c r="V478" s="20" t="str">
        <f>IF(
   T_Channel[[#This Row],[Check]]&lt;&gt;"OK",
   "",
   T_Channel[[#This Row],[LogFolder]] &amp; "\" &amp; T_Channel[[#This Row],[LogFile]]
)</f>
        <v/>
      </c>
      <c r="W478" s="20" t="str">
        <f>IF(
   T_Channel[[#This Row],[Safekeeping of logs]]="",
   "",
   VLOOKUP(T_Channel[[#This Row],[Safekeeping of logs]],T_List_LogMode[],2,FALSE)
)</f>
        <v/>
      </c>
      <c r="X478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479" spans="2:24" x14ac:dyDescent="0.45">
      <c r="B479" s="7"/>
      <c r="C479" s="7"/>
      <c r="D479" s="7"/>
      <c r="E479" s="7"/>
      <c r="F479" s="6"/>
      <c r="G479" s="6"/>
      <c r="H479" s="6"/>
      <c r="I479" s="6"/>
      <c r="J479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479" s="21"/>
      <c r="L479" s="7"/>
      <c r="M479" s="41"/>
      <c r="N479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479" s="26" t="str">
        <f>IF(
   T_Channel[[#This Row],[ProviderName]]="",
   "",
   COUNTIF($N$12:$N$9982,T_Channel[[#This Row],[ProviderName]])
)</f>
        <v/>
      </c>
      <c r="P479" s="26" t="str">
        <f>IF(
   T_Channel[[#This Row],[Check]]&lt;&gt;"OK",
   "",
   IF(
      T_Channel[[#This Row],[Query]]="",
      "Empty",
      "Defined"
   )
)</f>
        <v/>
      </c>
      <c r="Q479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479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479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47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479" s="20" t="str">
        <f>IF(
   T_Channel[[#This Row],[Check]]&lt;&gt;"OK",
   "",
   T_Channel[[#This Row],[ChannelSymbol]] &amp; ".evtx"
)</f>
        <v/>
      </c>
      <c r="V479" s="20" t="str">
        <f>IF(
   T_Channel[[#This Row],[Check]]&lt;&gt;"OK",
   "",
   T_Channel[[#This Row],[LogFolder]] &amp; "\" &amp; T_Channel[[#This Row],[LogFile]]
)</f>
        <v/>
      </c>
      <c r="W479" s="20" t="str">
        <f>IF(
   T_Channel[[#This Row],[Safekeeping of logs]]="",
   "",
   VLOOKUP(T_Channel[[#This Row],[Safekeeping of logs]],T_List_LogMode[],2,FALSE)
)</f>
        <v/>
      </c>
      <c r="X479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480" spans="2:24" x14ac:dyDescent="0.45">
      <c r="B480" s="7"/>
      <c r="C480" s="7"/>
      <c r="D480" s="7"/>
      <c r="E480" s="7"/>
      <c r="F480" s="6"/>
      <c r="G480" s="6"/>
      <c r="H480" s="6"/>
      <c r="I480" s="6"/>
      <c r="J480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480" s="21"/>
      <c r="L480" s="7"/>
      <c r="M480" s="41"/>
      <c r="N480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480" s="26" t="str">
        <f>IF(
   T_Channel[[#This Row],[ProviderName]]="",
   "",
   COUNTIF($N$12:$N$9982,T_Channel[[#This Row],[ProviderName]])
)</f>
        <v/>
      </c>
      <c r="P480" s="26" t="str">
        <f>IF(
   T_Channel[[#This Row],[Check]]&lt;&gt;"OK",
   "",
   IF(
      T_Channel[[#This Row],[Query]]="",
      "Empty",
      "Defined"
   )
)</f>
        <v/>
      </c>
      <c r="Q480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480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480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48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480" s="20" t="str">
        <f>IF(
   T_Channel[[#This Row],[Check]]&lt;&gt;"OK",
   "",
   T_Channel[[#This Row],[ChannelSymbol]] &amp; ".evtx"
)</f>
        <v/>
      </c>
      <c r="V480" s="20" t="str">
        <f>IF(
   T_Channel[[#This Row],[Check]]&lt;&gt;"OK",
   "",
   T_Channel[[#This Row],[LogFolder]] &amp; "\" &amp; T_Channel[[#This Row],[LogFile]]
)</f>
        <v/>
      </c>
      <c r="W480" s="20" t="str">
        <f>IF(
   T_Channel[[#This Row],[Safekeeping of logs]]="",
   "",
   VLOOKUP(T_Channel[[#This Row],[Safekeeping of logs]],T_List_LogMode[],2,FALSE)
)</f>
        <v/>
      </c>
      <c r="X480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481" spans="2:24" x14ac:dyDescent="0.45">
      <c r="B481" s="7"/>
      <c r="C481" s="7"/>
      <c r="D481" s="7"/>
      <c r="E481" s="7"/>
      <c r="F481" s="6"/>
      <c r="G481" s="6"/>
      <c r="H481" s="6"/>
      <c r="I481" s="6"/>
      <c r="J481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481" s="21"/>
      <c r="L481" s="7"/>
      <c r="M481" s="41"/>
      <c r="N481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481" s="26" t="str">
        <f>IF(
   T_Channel[[#This Row],[ProviderName]]="",
   "",
   COUNTIF($N$12:$N$9982,T_Channel[[#This Row],[ProviderName]])
)</f>
        <v/>
      </c>
      <c r="P481" s="26" t="str">
        <f>IF(
   T_Channel[[#This Row],[Check]]&lt;&gt;"OK",
   "",
   IF(
      T_Channel[[#This Row],[Query]]="",
      "Empty",
      "Defined"
   )
)</f>
        <v/>
      </c>
      <c r="Q481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481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481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48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481" s="20" t="str">
        <f>IF(
   T_Channel[[#This Row],[Check]]&lt;&gt;"OK",
   "",
   T_Channel[[#This Row],[ChannelSymbol]] &amp; ".evtx"
)</f>
        <v/>
      </c>
      <c r="V481" s="20" t="str">
        <f>IF(
   T_Channel[[#This Row],[Check]]&lt;&gt;"OK",
   "",
   T_Channel[[#This Row],[LogFolder]] &amp; "\" &amp; T_Channel[[#This Row],[LogFile]]
)</f>
        <v/>
      </c>
      <c r="W481" s="20" t="str">
        <f>IF(
   T_Channel[[#This Row],[Safekeeping of logs]]="",
   "",
   VLOOKUP(T_Channel[[#This Row],[Safekeeping of logs]],T_List_LogMode[],2,FALSE)
)</f>
        <v/>
      </c>
      <c r="X481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482" spans="2:24" x14ac:dyDescent="0.45">
      <c r="B482" s="7"/>
      <c r="C482" s="7"/>
      <c r="D482" s="7"/>
      <c r="E482" s="7"/>
      <c r="F482" s="6"/>
      <c r="G482" s="6"/>
      <c r="H482" s="6"/>
      <c r="I482" s="6"/>
      <c r="J482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482" s="21"/>
      <c r="L482" s="7"/>
      <c r="M482" s="41"/>
      <c r="N482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482" s="26" t="str">
        <f>IF(
   T_Channel[[#This Row],[ProviderName]]="",
   "",
   COUNTIF($N$12:$N$9982,T_Channel[[#This Row],[ProviderName]])
)</f>
        <v/>
      </c>
      <c r="P482" s="26" t="str">
        <f>IF(
   T_Channel[[#This Row],[Check]]&lt;&gt;"OK",
   "",
   IF(
      T_Channel[[#This Row],[Query]]="",
      "Empty",
      "Defined"
   )
)</f>
        <v/>
      </c>
      <c r="Q482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482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482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48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482" s="20" t="str">
        <f>IF(
   T_Channel[[#This Row],[Check]]&lt;&gt;"OK",
   "",
   T_Channel[[#This Row],[ChannelSymbol]] &amp; ".evtx"
)</f>
        <v/>
      </c>
      <c r="V482" s="20" t="str">
        <f>IF(
   T_Channel[[#This Row],[Check]]&lt;&gt;"OK",
   "",
   T_Channel[[#This Row],[LogFolder]] &amp; "\" &amp; T_Channel[[#This Row],[LogFile]]
)</f>
        <v/>
      </c>
      <c r="W482" s="20" t="str">
        <f>IF(
   T_Channel[[#This Row],[Safekeeping of logs]]="",
   "",
   VLOOKUP(T_Channel[[#This Row],[Safekeeping of logs]],T_List_LogMode[],2,FALSE)
)</f>
        <v/>
      </c>
      <c r="X482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483" spans="2:24" x14ac:dyDescent="0.45">
      <c r="B483" s="7"/>
      <c r="C483" s="7"/>
      <c r="D483" s="7"/>
      <c r="E483" s="7"/>
      <c r="F483" s="6"/>
      <c r="G483" s="6"/>
      <c r="H483" s="6"/>
      <c r="I483" s="6"/>
      <c r="J483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483" s="21"/>
      <c r="L483" s="7"/>
      <c r="M483" s="41"/>
      <c r="N483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483" s="26" t="str">
        <f>IF(
   T_Channel[[#This Row],[ProviderName]]="",
   "",
   COUNTIF($N$12:$N$9982,T_Channel[[#This Row],[ProviderName]])
)</f>
        <v/>
      </c>
      <c r="P483" s="26" t="str">
        <f>IF(
   T_Channel[[#This Row],[Check]]&lt;&gt;"OK",
   "",
   IF(
      T_Channel[[#This Row],[Query]]="",
      "Empty",
      "Defined"
   )
)</f>
        <v/>
      </c>
      <c r="Q483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483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483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48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483" s="20" t="str">
        <f>IF(
   T_Channel[[#This Row],[Check]]&lt;&gt;"OK",
   "",
   T_Channel[[#This Row],[ChannelSymbol]] &amp; ".evtx"
)</f>
        <v/>
      </c>
      <c r="V483" s="20" t="str">
        <f>IF(
   T_Channel[[#This Row],[Check]]&lt;&gt;"OK",
   "",
   T_Channel[[#This Row],[LogFolder]] &amp; "\" &amp; T_Channel[[#This Row],[LogFile]]
)</f>
        <v/>
      </c>
      <c r="W483" s="20" t="str">
        <f>IF(
   T_Channel[[#This Row],[Safekeeping of logs]]="",
   "",
   VLOOKUP(T_Channel[[#This Row],[Safekeeping of logs]],T_List_LogMode[],2,FALSE)
)</f>
        <v/>
      </c>
      <c r="X483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484" spans="2:24" x14ac:dyDescent="0.45">
      <c r="B484" s="7"/>
      <c r="C484" s="7"/>
      <c r="D484" s="7"/>
      <c r="E484" s="7"/>
      <c r="F484" s="6"/>
      <c r="G484" s="6"/>
      <c r="H484" s="6"/>
      <c r="I484" s="6"/>
      <c r="J484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484" s="21"/>
      <c r="L484" s="7"/>
      <c r="M484" s="41"/>
      <c r="N484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484" s="26" t="str">
        <f>IF(
   T_Channel[[#This Row],[ProviderName]]="",
   "",
   COUNTIF($N$12:$N$9982,T_Channel[[#This Row],[ProviderName]])
)</f>
        <v/>
      </c>
      <c r="P484" s="26" t="str">
        <f>IF(
   T_Channel[[#This Row],[Check]]&lt;&gt;"OK",
   "",
   IF(
      T_Channel[[#This Row],[Query]]="",
      "Empty",
      "Defined"
   )
)</f>
        <v/>
      </c>
      <c r="Q484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484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484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48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484" s="20" t="str">
        <f>IF(
   T_Channel[[#This Row],[Check]]&lt;&gt;"OK",
   "",
   T_Channel[[#This Row],[ChannelSymbol]] &amp; ".evtx"
)</f>
        <v/>
      </c>
      <c r="V484" s="20" t="str">
        <f>IF(
   T_Channel[[#This Row],[Check]]&lt;&gt;"OK",
   "",
   T_Channel[[#This Row],[LogFolder]] &amp; "\" &amp; T_Channel[[#This Row],[LogFile]]
)</f>
        <v/>
      </c>
      <c r="W484" s="20" t="str">
        <f>IF(
   T_Channel[[#This Row],[Safekeeping of logs]]="",
   "",
   VLOOKUP(T_Channel[[#This Row],[Safekeeping of logs]],T_List_LogMode[],2,FALSE)
)</f>
        <v/>
      </c>
      <c r="X484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485" spans="2:24" x14ac:dyDescent="0.45">
      <c r="B485" s="7"/>
      <c r="C485" s="7"/>
      <c r="D485" s="7"/>
      <c r="E485" s="7"/>
      <c r="F485" s="6"/>
      <c r="G485" s="6"/>
      <c r="H485" s="6"/>
      <c r="I485" s="6"/>
      <c r="J485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485" s="21"/>
      <c r="L485" s="7"/>
      <c r="M485" s="41"/>
      <c r="N485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485" s="26" t="str">
        <f>IF(
   T_Channel[[#This Row],[ProviderName]]="",
   "",
   COUNTIF($N$12:$N$9982,T_Channel[[#This Row],[ProviderName]])
)</f>
        <v/>
      </c>
      <c r="P485" s="26" t="str">
        <f>IF(
   T_Channel[[#This Row],[Check]]&lt;&gt;"OK",
   "",
   IF(
      T_Channel[[#This Row],[Query]]="",
      "Empty",
      "Defined"
   )
)</f>
        <v/>
      </c>
      <c r="Q485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485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485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48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485" s="20" t="str">
        <f>IF(
   T_Channel[[#This Row],[Check]]&lt;&gt;"OK",
   "",
   T_Channel[[#This Row],[ChannelSymbol]] &amp; ".evtx"
)</f>
        <v/>
      </c>
      <c r="V485" s="20" t="str">
        <f>IF(
   T_Channel[[#This Row],[Check]]&lt;&gt;"OK",
   "",
   T_Channel[[#This Row],[LogFolder]] &amp; "\" &amp; T_Channel[[#This Row],[LogFile]]
)</f>
        <v/>
      </c>
      <c r="W485" s="20" t="str">
        <f>IF(
   T_Channel[[#This Row],[Safekeeping of logs]]="",
   "",
   VLOOKUP(T_Channel[[#This Row],[Safekeeping of logs]],T_List_LogMode[],2,FALSE)
)</f>
        <v/>
      </c>
      <c r="X485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486" spans="2:24" x14ac:dyDescent="0.45">
      <c r="B486" s="7"/>
      <c r="C486" s="7"/>
      <c r="D486" s="7"/>
      <c r="E486" s="7"/>
      <c r="F486" s="6"/>
      <c r="G486" s="6"/>
      <c r="H486" s="6"/>
      <c r="I486" s="6"/>
      <c r="J486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486" s="21"/>
      <c r="L486" s="7"/>
      <c r="M486" s="41"/>
      <c r="N486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486" s="26" t="str">
        <f>IF(
   T_Channel[[#This Row],[ProviderName]]="",
   "",
   COUNTIF($N$12:$N$9982,T_Channel[[#This Row],[ProviderName]])
)</f>
        <v/>
      </c>
      <c r="P486" s="26" t="str">
        <f>IF(
   T_Channel[[#This Row],[Check]]&lt;&gt;"OK",
   "",
   IF(
      T_Channel[[#This Row],[Query]]="",
      "Empty",
      "Defined"
   )
)</f>
        <v/>
      </c>
      <c r="Q486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486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486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48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486" s="20" t="str">
        <f>IF(
   T_Channel[[#This Row],[Check]]&lt;&gt;"OK",
   "",
   T_Channel[[#This Row],[ChannelSymbol]] &amp; ".evtx"
)</f>
        <v/>
      </c>
      <c r="V486" s="20" t="str">
        <f>IF(
   T_Channel[[#This Row],[Check]]&lt;&gt;"OK",
   "",
   T_Channel[[#This Row],[LogFolder]] &amp; "\" &amp; T_Channel[[#This Row],[LogFile]]
)</f>
        <v/>
      </c>
      <c r="W486" s="20" t="str">
        <f>IF(
   T_Channel[[#This Row],[Safekeeping of logs]]="",
   "",
   VLOOKUP(T_Channel[[#This Row],[Safekeeping of logs]],T_List_LogMode[],2,FALSE)
)</f>
        <v/>
      </c>
      <c r="X486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487" spans="2:24" x14ac:dyDescent="0.45">
      <c r="B487" s="7"/>
      <c r="C487" s="7"/>
      <c r="D487" s="7"/>
      <c r="E487" s="7"/>
      <c r="F487" s="6"/>
      <c r="G487" s="6"/>
      <c r="H487" s="6"/>
      <c r="I487" s="6"/>
      <c r="J487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487" s="21"/>
      <c r="L487" s="7"/>
      <c r="M487" s="41"/>
      <c r="N487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487" s="26" t="str">
        <f>IF(
   T_Channel[[#This Row],[ProviderName]]="",
   "",
   COUNTIF($N$12:$N$9982,T_Channel[[#This Row],[ProviderName]])
)</f>
        <v/>
      </c>
      <c r="P487" s="26" t="str">
        <f>IF(
   T_Channel[[#This Row],[Check]]&lt;&gt;"OK",
   "",
   IF(
      T_Channel[[#This Row],[Query]]="",
      "Empty",
      "Defined"
   )
)</f>
        <v/>
      </c>
      <c r="Q487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487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487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48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487" s="20" t="str">
        <f>IF(
   T_Channel[[#This Row],[Check]]&lt;&gt;"OK",
   "",
   T_Channel[[#This Row],[ChannelSymbol]] &amp; ".evtx"
)</f>
        <v/>
      </c>
      <c r="V487" s="20" t="str">
        <f>IF(
   T_Channel[[#This Row],[Check]]&lt;&gt;"OK",
   "",
   T_Channel[[#This Row],[LogFolder]] &amp; "\" &amp; T_Channel[[#This Row],[LogFile]]
)</f>
        <v/>
      </c>
      <c r="W487" s="20" t="str">
        <f>IF(
   T_Channel[[#This Row],[Safekeeping of logs]]="",
   "",
   VLOOKUP(T_Channel[[#This Row],[Safekeeping of logs]],T_List_LogMode[],2,FALSE)
)</f>
        <v/>
      </c>
      <c r="X487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488" spans="2:24" x14ac:dyDescent="0.45">
      <c r="B488" s="7"/>
      <c r="C488" s="7"/>
      <c r="D488" s="7"/>
      <c r="E488" s="7"/>
      <c r="F488" s="6"/>
      <c r="G488" s="6"/>
      <c r="H488" s="6"/>
      <c r="I488" s="6"/>
      <c r="J488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488" s="21"/>
      <c r="L488" s="7"/>
      <c r="M488" s="41"/>
      <c r="N488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488" s="26" t="str">
        <f>IF(
   T_Channel[[#This Row],[ProviderName]]="",
   "",
   COUNTIF($N$12:$N$9982,T_Channel[[#This Row],[ProviderName]])
)</f>
        <v/>
      </c>
      <c r="P488" s="26" t="str">
        <f>IF(
   T_Channel[[#This Row],[Check]]&lt;&gt;"OK",
   "",
   IF(
      T_Channel[[#This Row],[Query]]="",
      "Empty",
      "Defined"
   )
)</f>
        <v/>
      </c>
      <c r="Q488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488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488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48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488" s="20" t="str">
        <f>IF(
   T_Channel[[#This Row],[Check]]&lt;&gt;"OK",
   "",
   T_Channel[[#This Row],[ChannelSymbol]] &amp; ".evtx"
)</f>
        <v/>
      </c>
      <c r="V488" s="20" t="str">
        <f>IF(
   T_Channel[[#This Row],[Check]]&lt;&gt;"OK",
   "",
   T_Channel[[#This Row],[LogFolder]] &amp; "\" &amp; T_Channel[[#This Row],[LogFile]]
)</f>
        <v/>
      </c>
      <c r="W488" s="20" t="str">
        <f>IF(
   T_Channel[[#This Row],[Safekeeping of logs]]="",
   "",
   VLOOKUP(T_Channel[[#This Row],[Safekeeping of logs]],T_List_LogMode[],2,FALSE)
)</f>
        <v/>
      </c>
      <c r="X488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489" spans="2:24" x14ac:dyDescent="0.45">
      <c r="B489" s="7"/>
      <c r="C489" s="7"/>
      <c r="D489" s="7"/>
      <c r="E489" s="7"/>
      <c r="F489" s="6"/>
      <c r="G489" s="6"/>
      <c r="H489" s="6"/>
      <c r="I489" s="6"/>
      <c r="J489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489" s="21"/>
      <c r="L489" s="7"/>
      <c r="M489" s="41"/>
      <c r="N489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489" s="26" t="str">
        <f>IF(
   T_Channel[[#This Row],[ProviderName]]="",
   "",
   COUNTIF($N$12:$N$9982,T_Channel[[#This Row],[ProviderName]])
)</f>
        <v/>
      </c>
      <c r="P489" s="26" t="str">
        <f>IF(
   T_Channel[[#This Row],[Check]]&lt;&gt;"OK",
   "",
   IF(
      T_Channel[[#This Row],[Query]]="",
      "Empty",
      "Defined"
   )
)</f>
        <v/>
      </c>
      <c r="Q489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489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489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48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489" s="20" t="str">
        <f>IF(
   T_Channel[[#This Row],[Check]]&lt;&gt;"OK",
   "",
   T_Channel[[#This Row],[ChannelSymbol]] &amp; ".evtx"
)</f>
        <v/>
      </c>
      <c r="V489" s="20" t="str">
        <f>IF(
   T_Channel[[#This Row],[Check]]&lt;&gt;"OK",
   "",
   T_Channel[[#This Row],[LogFolder]] &amp; "\" &amp; T_Channel[[#This Row],[LogFile]]
)</f>
        <v/>
      </c>
      <c r="W489" s="20" t="str">
        <f>IF(
   T_Channel[[#This Row],[Safekeeping of logs]]="",
   "",
   VLOOKUP(T_Channel[[#This Row],[Safekeeping of logs]],T_List_LogMode[],2,FALSE)
)</f>
        <v/>
      </c>
      <c r="X489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490" spans="2:24" x14ac:dyDescent="0.45">
      <c r="B490" s="7"/>
      <c r="C490" s="7"/>
      <c r="D490" s="7"/>
      <c r="E490" s="7"/>
      <c r="F490" s="6"/>
      <c r="G490" s="6"/>
      <c r="H490" s="6"/>
      <c r="I490" s="6"/>
      <c r="J490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490" s="21"/>
      <c r="L490" s="7"/>
      <c r="M490" s="41"/>
      <c r="N490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490" s="26" t="str">
        <f>IF(
   T_Channel[[#This Row],[ProviderName]]="",
   "",
   COUNTIF($N$12:$N$9982,T_Channel[[#This Row],[ProviderName]])
)</f>
        <v/>
      </c>
      <c r="P490" s="26" t="str">
        <f>IF(
   T_Channel[[#This Row],[Check]]&lt;&gt;"OK",
   "",
   IF(
      T_Channel[[#This Row],[Query]]="",
      "Empty",
      "Defined"
   )
)</f>
        <v/>
      </c>
      <c r="Q490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490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490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49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490" s="20" t="str">
        <f>IF(
   T_Channel[[#This Row],[Check]]&lt;&gt;"OK",
   "",
   T_Channel[[#This Row],[ChannelSymbol]] &amp; ".evtx"
)</f>
        <v/>
      </c>
      <c r="V490" s="20" t="str">
        <f>IF(
   T_Channel[[#This Row],[Check]]&lt;&gt;"OK",
   "",
   T_Channel[[#This Row],[LogFolder]] &amp; "\" &amp; T_Channel[[#This Row],[LogFile]]
)</f>
        <v/>
      </c>
      <c r="W490" s="20" t="str">
        <f>IF(
   T_Channel[[#This Row],[Safekeeping of logs]]="",
   "",
   VLOOKUP(T_Channel[[#This Row],[Safekeeping of logs]],T_List_LogMode[],2,FALSE)
)</f>
        <v/>
      </c>
      <c r="X490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491" spans="2:24" x14ac:dyDescent="0.45">
      <c r="B491" s="7"/>
      <c r="C491" s="7"/>
      <c r="D491" s="7"/>
      <c r="E491" s="7"/>
      <c r="F491" s="6"/>
      <c r="G491" s="6"/>
      <c r="H491" s="6"/>
      <c r="I491" s="6"/>
      <c r="J491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491" s="21"/>
      <c r="L491" s="7"/>
      <c r="M491" s="41"/>
      <c r="N491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491" s="26" t="str">
        <f>IF(
   T_Channel[[#This Row],[ProviderName]]="",
   "",
   COUNTIF($N$12:$N$9982,T_Channel[[#This Row],[ProviderName]])
)</f>
        <v/>
      </c>
      <c r="P491" s="26" t="str">
        <f>IF(
   T_Channel[[#This Row],[Check]]&lt;&gt;"OK",
   "",
   IF(
      T_Channel[[#This Row],[Query]]="",
      "Empty",
      "Defined"
   )
)</f>
        <v/>
      </c>
      <c r="Q491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491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491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49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491" s="20" t="str">
        <f>IF(
   T_Channel[[#This Row],[Check]]&lt;&gt;"OK",
   "",
   T_Channel[[#This Row],[ChannelSymbol]] &amp; ".evtx"
)</f>
        <v/>
      </c>
      <c r="V491" s="20" t="str">
        <f>IF(
   T_Channel[[#This Row],[Check]]&lt;&gt;"OK",
   "",
   T_Channel[[#This Row],[LogFolder]] &amp; "\" &amp; T_Channel[[#This Row],[LogFile]]
)</f>
        <v/>
      </c>
      <c r="W491" s="20" t="str">
        <f>IF(
   T_Channel[[#This Row],[Safekeeping of logs]]="",
   "",
   VLOOKUP(T_Channel[[#This Row],[Safekeeping of logs]],T_List_LogMode[],2,FALSE)
)</f>
        <v/>
      </c>
      <c r="X491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492" spans="2:24" x14ac:dyDescent="0.45">
      <c r="B492" s="7"/>
      <c r="C492" s="7"/>
      <c r="D492" s="7"/>
      <c r="E492" s="7"/>
      <c r="F492" s="6"/>
      <c r="G492" s="6"/>
      <c r="H492" s="6"/>
      <c r="I492" s="6"/>
      <c r="J492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492" s="21"/>
      <c r="L492" s="7"/>
      <c r="M492" s="41"/>
      <c r="N492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492" s="26" t="str">
        <f>IF(
   T_Channel[[#This Row],[ProviderName]]="",
   "",
   COUNTIF($N$12:$N$9982,T_Channel[[#This Row],[ProviderName]])
)</f>
        <v/>
      </c>
      <c r="P492" s="26" t="str">
        <f>IF(
   T_Channel[[#This Row],[Check]]&lt;&gt;"OK",
   "",
   IF(
      T_Channel[[#This Row],[Query]]="",
      "Empty",
      "Defined"
   )
)</f>
        <v/>
      </c>
      <c r="Q492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492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492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49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492" s="20" t="str">
        <f>IF(
   T_Channel[[#This Row],[Check]]&lt;&gt;"OK",
   "",
   T_Channel[[#This Row],[ChannelSymbol]] &amp; ".evtx"
)</f>
        <v/>
      </c>
      <c r="V492" s="20" t="str">
        <f>IF(
   T_Channel[[#This Row],[Check]]&lt;&gt;"OK",
   "",
   T_Channel[[#This Row],[LogFolder]] &amp; "\" &amp; T_Channel[[#This Row],[LogFile]]
)</f>
        <v/>
      </c>
      <c r="W492" s="20" t="str">
        <f>IF(
   T_Channel[[#This Row],[Safekeeping of logs]]="",
   "",
   VLOOKUP(T_Channel[[#This Row],[Safekeeping of logs]],T_List_LogMode[],2,FALSE)
)</f>
        <v/>
      </c>
      <c r="X492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493" spans="2:24" x14ac:dyDescent="0.45">
      <c r="B493" s="7"/>
      <c r="C493" s="7"/>
      <c r="D493" s="7"/>
      <c r="E493" s="7"/>
      <c r="F493" s="6"/>
      <c r="G493" s="6"/>
      <c r="H493" s="6"/>
      <c r="I493" s="6"/>
      <c r="J493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493" s="21"/>
      <c r="L493" s="7"/>
      <c r="M493" s="41"/>
      <c r="N493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493" s="26" t="str">
        <f>IF(
   T_Channel[[#This Row],[ProviderName]]="",
   "",
   COUNTIF($N$12:$N$9982,T_Channel[[#This Row],[ProviderName]])
)</f>
        <v/>
      </c>
      <c r="P493" s="26" t="str">
        <f>IF(
   T_Channel[[#This Row],[Check]]&lt;&gt;"OK",
   "",
   IF(
      T_Channel[[#This Row],[Query]]="",
      "Empty",
      "Defined"
   )
)</f>
        <v/>
      </c>
      <c r="Q493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493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493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49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493" s="20" t="str">
        <f>IF(
   T_Channel[[#This Row],[Check]]&lt;&gt;"OK",
   "",
   T_Channel[[#This Row],[ChannelSymbol]] &amp; ".evtx"
)</f>
        <v/>
      </c>
      <c r="V493" s="20" t="str">
        <f>IF(
   T_Channel[[#This Row],[Check]]&lt;&gt;"OK",
   "",
   T_Channel[[#This Row],[LogFolder]] &amp; "\" &amp; T_Channel[[#This Row],[LogFile]]
)</f>
        <v/>
      </c>
      <c r="W493" s="20" t="str">
        <f>IF(
   T_Channel[[#This Row],[Safekeeping of logs]]="",
   "",
   VLOOKUP(T_Channel[[#This Row],[Safekeeping of logs]],T_List_LogMode[],2,FALSE)
)</f>
        <v/>
      </c>
      <c r="X493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494" spans="2:24" x14ac:dyDescent="0.45">
      <c r="B494" s="7"/>
      <c r="C494" s="7"/>
      <c r="D494" s="7"/>
      <c r="E494" s="7"/>
      <c r="F494" s="6"/>
      <c r="G494" s="6"/>
      <c r="H494" s="6"/>
      <c r="I494" s="6"/>
      <c r="J494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494" s="21"/>
      <c r="L494" s="7"/>
      <c r="M494" s="41"/>
      <c r="N494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494" s="26" t="str">
        <f>IF(
   T_Channel[[#This Row],[ProviderName]]="",
   "",
   COUNTIF($N$12:$N$9982,T_Channel[[#This Row],[ProviderName]])
)</f>
        <v/>
      </c>
      <c r="P494" s="26" t="str">
        <f>IF(
   T_Channel[[#This Row],[Check]]&lt;&gt;"OK",
   "",
   IF(
      T_Channel[[#This Row],[Query]]="",
      "Empty",
      "Defined"
   )
)</f>
        <v/>
      </c>
      <c r="Q494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494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494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49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494" s="20" t="str">
        <f>IF(
   T_Channel[[#This Row],[Check]]&lt;&gt;"OK",
   "",
   T_Channel[[#This Row],[ChannelSymbol]] &amp; ".evtx"
)</f>
        <v/>
      </c>
      <c r="V494" s="20" t="str">
        <f>IF(
   T_Channel[[#This Row],[Check]]&lt;&gt;"OK",
   "",
   T_Channel[[#This Row],[LogFolder]] &amp; "\" &amp; T_Channel[[#This Row],[LogFile]]
)</f>
        <v/>
      </c>
      <c r="W494" s="20" t="str">
        <f>IF(
   T_Channel[[#This Row],[Safekeeping of logs]]="",
   "",
   VLOOKUP(T_Channel[[#This Row],[Safekeeping of logs]],T_List_LogMode[],2,FALSE)
)</f>
        <v/>
      </c>
      <c r="X494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495" spans="2:24" x14ac:dyDescent="0.45">
      <c r="B495" s="7"/>
      <c r="C495" s="7"/>
      <c r="D495" s="7"/>
      <c r="E495" s="7"/>
      <c r="F495" s="6"/>
      <c r="G495" s="6"/>
      <c r="H495" s="6"/>
      <c r="I495" s="6"/>
      <c r="J495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495" s="21"/>
      <c r="L495" s="7"/>
      <c r="M495" s="41"/>
      <c r="N495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495" s="26" t="str">
        <f>IF(
   T_Channel[[#This Row],[ProviderName]]="",
   "",
   COUNTIF($N$12:$N$9982,T_Channel[[#This Row],[ProviderName]])
)</f>
        <v/>
      </c>
      <c r="P495" s="26" t="str">
        <f>IF(
   T_Channel[[#This Row],[Check]]&lt;&gt;"OK",
   "",
   IF(
      T_Channel[[#This Row],[Query]]="",
      "Empty",
      "Defined"
   )
)</f>
        <v/>
      </c>
      <c r="Q495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495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495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49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495" s="20" t="str">
        <f>IF(
   T_Channel[[#This Row],[Check]]&lt;&gt;"OK",
   "",
   T_Channel[[#This Row],[ChannelSymbol]] &amp; ".evtx"
)</f>
        <v/>
      </c>
      <c r="V495" s="20" t="str">
        <f>IF(
   T_Channel[[#This Row],[Check]]&lt;&gt;"OK",
   "",
   T_Channel[[#This Row],[LogFolder]] &amp; "\" &amp; T_Channel[[#This Row],[LogFile]]
)</f>
        <v/>
      </c>
      <c r="W495" s="20" t="str">
        <f>IF(
   T_Channel[[#This Row],[Safekeeping of logs]]="",
   "",
   VLOOKUP(T_Channel[[#This Row],[Safekeeping of logs]],T_List_LogMode[],2,FALSE)
)</f>
        <v/>
      </c>
      <c r="X495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496" spans="2:24" x14ac:dyDescent="0.45">
      <c r="B496" s="7"/>
      <c r="C496" s="7"/>
      <c r="D496" s="7"/>
      <c r="E496" s="7"/>
      <c r="F496" s="6"/>
      <c r="G496" s="6"/>
      <c r="H496" s="6"/>
      <c r="I496" s="6"/>
      <c r="J496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496" s="21"/>
      <c r="L496" s="7"/>
      <c r="M496" s="41"/>
      <c r="N496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496" s="26" t="str">
        <f>IF(
   T_Channel[[#This Row],[ProviderName]]="",
   "",
   COUNTIF($N$12:$N$9982,T_Channel[[#This Row],[ProviderName]])
)</f>
        <v/>
      </c>
      <c r="P496" s="26" t="str">
        <f>IF(
   T_Channel[[#This Row],[Check]]&lt;&gt;"OK",
   "",
   IF(
      T_Channel[[#This Row],[Query]]="",
      "Empty",
      "Defined"
   )
)</f>
        <v/>
      </c>
      <c r="Q496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496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496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49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496" s="20" t="str">
        <f>IF(
   T_Channel[[#This Row],[Check]]&lt;&gt;"OK",
   "",
   T_Channel[[#This Row],[ChannelSymbol]] &amp; ".evtx"
)</f>
        <v/>
      </c>
      <c r="V496" s="20" t="str">
        <f>IF(
   T_Channel[[#This Row],[Check]]&lt;&gt;"OK",
   "",
   T_Channel[[#This Row],[LogFolder]] &amp; "\" &amp; T_Channel[[#This Row],[LogFile]]
)</f>
        <v/>
      </c>
      <c r="W496" s="20" t="str">
        <f>IF(
   T_Channel[[#This Row],[Safekeeping of logs]]="",
   "",
   VLOOKUP(T_Channel[[#This Row],[Safekeeping of logs]],T_List_LogMode[],2,FALSE)
)</f>
        <v/>
      </c>
      <c r="X496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497" spans="2:24" x14ac:dyDescent="0.45">
      <c r="B497" s="7"/>
      <c r="C497" s="7"/>
      <c r="D497" s="7"/>
      <c r="E497" s="7"/>
      <c r="F497" s="6"/>
      <c r="G497" s="6"/>
      <c r="H497" s="6"/>
      <c r="I497" s="6"/>
      <c r="J497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497" s="21"/>
      <c r="L497" s="7"/>
      <c r="M497" s="41"/>
      <c r="N497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497" s="26" t="str">
        <f>IF(
   T_Channel[[#This Row],[ProviderName]]="",
   "",
   COUNTIF($N$12:$N$9982,T_Channel[[#This Row],[ProviderName]])
)</f>
        <v/>
      </c>
      <c r="P497" s="26" t="str">
        <f>IF(
   T_Channel[[#This Row],[Check]]&lt;&gt;"OK",
   "",
   IF(
      T_Channel[[#This Row],[Query]]="",
      "Empty",
      "Defined"
   )
)</f>
        <v/>
      </c>
      <c r="Q497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497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497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49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497" s="20" t="str">
        <f>IF(
   T_Channel[[#This Row],[Check]]&lt;&gt;"OK",
   "",
   T_Channel[[#This Row],[ChannelSymbol]] &amp; ".evtx"
)</f>
        <v/>
      </c>
      <c r="V497" s="20" t="str">
        <f>IF(
   T_Channel[[#This Row],[Check]]&lt;&gt;"OK",
   "",
   T_Channel[[#This Row],[LogFolder]] &amp; "\" &amp; T_Channel[[#This Row],[LogFile]]
)</f>
        <v/>
      </c>
      <c r="W497" s="20" t="str">
        <f>IF(
   T_Channel[[#This Row],[Safekeeping of logs]]="",
   "",
   VLOOKUP(T_Channel[[#This Row],[Safekeeping of logs]],T_List_LogMode[],2,FALSE)
)</f>
        <v/>
      </c>
      <c r="X497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498" spans="2:24" x14ac:dyDescent="0.45">
      <c r="B498" s="7"/>
      <c r="C498" s="7"/>
      <c r="D498" s="7"/>
      <c r="E498" s="7"/>
      <c r="F498" s="6"/>
      <c r="G498" s="6"/>
      <c r="H498" s="6"/>
      <c r="I498" s="6"/>
      <c r="J498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498" s="21"/>
      <c r="L498" s="7"/>
      <c r="M498" s="41"/>
      <c r="N498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498" s="26" t="str">
        <f>IF(
   T_Channel[[#This Row],[ProviderName]]="",
   "",
   COUNTIF($N$12:$N$9982,T_Channel[[#This Row],[ProviderName]])
)</f>
        <v/>
      </c>
      <c r="P498" s="26" t="str">
        <f>IF(
   T_Channel[[#This Row],[Check]]&lt;&gt;"OK",
   "",
   IF(
      T_Channel[[#This Row],[Query]]="",
      "Empty",
      "Defined"
   )
)</f>
        <v/>
      </c>
      <c r="Q498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498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498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49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498" s="20" t="str">
        <f>IF(
   T_Channel[[#This Row],[Check]]&lt;&gt;"OK",
   "",
   T_Channel[[#This Row],[ChannelSymbol]] &amp; ".evtx"
)</f>
        <v/>
      </c>
      <c r="V498" s="20" t="str">
        <f>IF(
   T_Channel[[#This Row],[Check]]&lt;&gt;"OK",
   "",
   T_Channel[[#This Row],[LogFolder]] &amp; "\" &amp; T_Channel[[#This Row],[LogFile]]
)</f>
        <v/>
      </c>
      <c r="W498" s="20" t="str">
        <f>IF(
   T_Channel[[#This Row],[Safekeeping of logs]]="",
   "",
   VLOOKUP(T_Channel[[#This Row],[Safekeeping of logs]],T_List_LogMode[],2,FALSE)
)</f>
        <v/>
      </c>
      <c r="X498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499" spans="2:24" x14ac:dyDescent="0.45">
      <c r="B499" s="7"/>
      <c r="C499" s="7"/>
      <c r="D499" s="7"/>
      <c r="E499" s="7"/>
      <c r="F499" s="6"/>
      <c r="G499" s="6"/>
      <c r="H499" s="6"/>
      <c r="I499" s="6"/>
      <c r="J499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499" s="21"/>
      <c r="L499" s="7"/>
      <c r="M499" s="41"/>
      <c r="N499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499" s="26" t="str">
        <f>IF(
   T_Channel[[#This Row],[ProviderName]]="",
   "",
   COUNTIF($N$12:$N$9982,T_Channel[[#This Row],[ProviderName]])
)</f>
        <v/>
      </c>
      <c r="P499" s="26" t="str">
        <f>IF(
   T_Channel[[#This Row],[Check]]&lt;&gt;"OK",
   "",
   IF(
      T_Channel[[#This Row],[Query]]="",
      "Empty",
      "Defined"
   )
)</f>
        <v/>
      </c>
      <c r="Q499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499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499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49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499" s="20" t="str">
        <f>IF(
   T_Channel[[#This Row],[Check]]&lt;&gt;"OK",
   "",
   T_Channel[[#This Row],[ChannelSymbol]] &amp; ".evtx"
)</f>
        <v/>
      </c>
      <c r="V499" s="20" t="str">
        <f>IF(
   T_Channel[[#This Row],[Check]]&lt;&gt;"OK",
   "",
   T_Channel[[#This Row],[LogFolder]] &amp; "\" &amp; T_Channel[[#This Row],[LogFile]]
)</f>
        <v/>
      </c>
      <c r="W499" s="20" t="str">
        <f>IF(
   T_Channel[[#This Row],[Safekeeping of logs]]="",
   "",
   VLOOKUP(T_Channel[[#This Row],[Safekeeping of logs]],T_List_LogMode[],2,FALSE)
)</f>
        <v/>
      </c>
      <c r="X499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500" spans="2:24" x14ac:dyDescent="0.45">
      <c r="B500" s="7"/>
      <c r="C500" s="7"/>
      <c r="D500" s="7"/>
      <c r="E500" s="7"/>
      <c r="F500" s="6"/>
      <c r="G500" s="6"/>
      <c r="H500" s="6"/>
      <c r="I500" s="6"/>
      <c r="J500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500" s="21"/>
      <c r="L500" s="7"/>
      <c r="M500" s="41"/>
      <c r="N500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500" s="26" t="str">
        <f>IF(
   T_Channel[[#This Row],[ProviderName]]="",
   "",
   COUNTIF($N$12:$N$9982,T_Channel[[#This Row],[ProviderName]])
)</f>
        <v/>
      </c>
      <c r="P500" s="26" t="str">
        <f>IF(
   T_Channel[[#This Row],[Check]]&lt;&gt;"OK",
   "",
   IF(
      T_Channel[[#This Row],[Query]]="",
      "Empty",
      "Defined"
   )
)</f>
        <v/>
      </c>
      <c r="Q500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500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500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50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500" s="20" t="str">
        <f>IF(
   T_Channel[[#This Row],[Check]]&lt;&gt;"OK",
   "",
   T_Channel[[#This Row],[ChannelSymbol]] &amp; ".evtx"
)</f>
        <v/>
      </c>
      <c r="V500" s="20" t="str">
        <f>IF(
   T_Channel[[#This Row],[Check]]&lt;&gt;"OK",
   "",
   T_Channel[[#This Row],[LogFolder]] &amp; "\" &amp; T_Channel[[#This Row],[LogFile]]
)</f>
        <v/>
      </c>
      <c r="W500" s="20" t="str">
        <f>IF(
   T_Channel[[#This Row],[Safekeeping of logs]]="",
   "",
   VLOOKUP(T_Channel[[#This Row],[Safekeeping of logs]],T_List_LogMode[],2,FALSE)
)</f>
        <v/>
      </c>
      <c r="X500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501" spans="2:24" x14ac:dyDescent="0.45">
      <c r="B501" s="7"/>
      <c r="C501" s="7"/>
      <c r="D501" s="7"/>
      <c r="E501" s="7"/>
      <c r="F501" s="6"/>
      <c r="G501" s="6"/>
      <c r="H501" s="6"/>
      <c r="I501" s="6"/>
      <c r="J501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501" s="21"/>
      <c r="L501" s="7"/>
      <c r="M501" s="41"/>
      <c r="N501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501" s="26" t="str">
        <f>IF(
   T_Channel[[#This Row],[ProviderName]]="",
   "",
   COUNTIF($N$12:$N$9982,T_Channel[[#This Row],[ProviderName]])
)</f>
        <v/>
      </c>
      <c r="P501" s="26" t="str">
        <f>IF(
   T_Channel[[#This Row],[Check]]&lt;&gt;"OK",
   "",
   IF(
      T_Channel[[#This Row],[Query]]="",
      "Empty",
      "Defined"
   )
)</f>
        <v/>
      </c>
      <c r="Q501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501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501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50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501" s="20" t="str">
        <f>IF(
   T_Channel[[#This Row],[Check]]&lt;&gt;"OK",
   "",
   T_Channel[[#This Row],[ChannelSymbol]] &amp; ".evtx"
)</f>
        <v/>
      </c>
      <c r="V501" s="20" t="str">
        <f>IF(
   T_Channel[[#This Row],[Check]]&lt;&gt;"OK",
   "",
   T_Channel[[#This Row],[LogFolder]] &amp; "\" &amp; T_Channel[[#This Row],[LogFile]]
)</f>
        <v/>
      </c>
      <c r="W501" s="20" t="str">
        <f>IF(
   T_Channel[[#This Row],[Safekeeping of logs]]="",
   "",
   VLOOKUP(T_Channel[[#This Row],[Safekeeping of logs]],T_List_LogMode[],2,FALSE)
)</f>
        <v/>
      </c>
      <c r="X501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502" spans="2:24" x14ac:dyDescent="0.45">
      <c r="B502" s="7"/>
      <c r="C502" s="7"/>
      <c r="D502" s="7"/>
      <c r="E502" s="7"/>
      <c r="F502" s="6"/>
      <c r="G502" s="6"/>
      <c r="H502" s="6"/>
      <c r="I502" s="6"/>
      <c r="J502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502" s="21"/>
      <c r="L502" s="7"/>
      <c r="M502" s="41"/>
      <c r="N502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502" s="26" t="str">
        <f>IF(
   T_Channel[[#This Row],[ProviderName]]="",
   "",
   COUNTIF($N$12:$N$9982,T_Channel[[#This Row],[ProviderName]])
)</f>
        <v/>
      </c>
      <c r="P502" s="26" t="str">
        <f>IF(
   T_Channel[[#This Row],[Check]]&lt;&gt;"OK",
   "",
   IF(
      T_Channel[[#This Row],[Query]]="",
      "Empty",
      "Defined"
   )
)</f>
        <v/>
      </c>
      <c r="Q502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502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502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50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502" s="20" t="str">
        <f>IF(
   T_Channel[[#This Row],[Check]]&lt;&gt;"OK",
   "",
   T_Channel[[#This Row],[ChannelSymbol]] &amp; ".evtx"
)</f>
        <v/>
      </c>
      <c r="V502" s="20" t="str">
        <f>IF(
   T_Channel[[#This Row],[Check]]&lt;&gt;"OK",
   "",
   T_Channel[[#This Row],[LogFolder]] &amp; "\" &amp; T_Channel[[#This Row],[LogFile]]
)</f>
        <v/>
      </c>
      <c r="W502" s="20" t="str">
        <f>IF(
   T_Channel[[#This Row],[Safekeeping of logs]]="",
   "",
   VLOOKUP(T_Channel[[#This Row],[Safekeeping of logs]],T_List_LogMode[],2,FALSE)
)</f>
        <v/>
      </c>
      <c r="X502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503" spans="2:24" x14ac:dyDescent="0.45">
      <c r="B503" s="7"/>
      <c r="C503" s="7"/>
      <c r="D503" s="7"/>
      <c r="E503" s="7"/>
      <c r="F503" s="6"/>
      <c r="G503" s="6"/>
      <c r="H503" s="6"/>
      <c r="I503" s="6"/>
      <c r="J503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503" s="21"/>
      <c r="L503" s="7"/>
      <c r="M503" s="41"/>
      <c r="N503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503" s="26" t="str">
        <f>IF(
   T_Channel[[#This Row],[ProviderName]]="",
   "",
   COUNTIF($N$12:$N$9982,T_Channel[[#This Row],[ProviderName]])
)</f>
        <v/>
      </c>
      <c r="P503" s="26" t="str">
        <f>IF(
   T_Channel[[#This Row],[Check]]&lt;&gt;"OK",
   "",
   IF(
      T_Channel[[#This Row],[Query]]="",
      "Empty",
      "Defined"
   )
)</f>
        <v/>
      </c>
      <c r="Q503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503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503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50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503" s="20" t="str">
        <f>IF(
   T_Channel[[#This Row],[Check]]&lt;&gt;"OK",
   "",
   T_Channel[[#This Row],[ChannelSymbol]] &amp; ".evtx"
)</f>
        <v/>
      </c>
      <c r="V503" s="20" t="str">
        <f>IF(
   T_Channel[[#This Row],[Check]]&lt;&gt;"OK",
   "",
   T_Channel[[#This Row],[LogFolder]] &amp; "\" &amp; T_Channel[[#This Row],[LogFile]]
)</f>
        <v/>
      </c>
      <c r="W503" s="20" t="str">
        <f>IF(
   T_Channel[[#This Row],[Safekeeping of logs]]="",
   "",
   VLOOKUP(T_Channel[[#This Row],[Safekeeping of logs]],T_List_LogMode[],2,FALSE)
)</f>
        <v/>
      </c>
      <c r="X503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504" spans="2:24" x14ac:dyDescent="0.45">
      <c r="B504" s="7"/>
      <c r="C504" s="7"/>
      <c r="D504" s="7"/>
      <c r="E504" s="7"/>
      <c r="F504" s="6"/>
      <c r="G504" s="6"/>
      <c r="H504" s="6"/>
      <c r="I504" s="6"/>
      <c r="J504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504" s="21"/>
      <c r="L504" s="7"/>
      <c r="M504" s="41"/>
      <c r="N504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504" s="26" t="str">
        <f>IF(
   T_Channel[[#This Row],[ProviderName]]="",
   "",
   COUNTIF($N$12:$N$9982,T_Channel[[#This Row],[ProviderName]])
)</f>
        <v/>
      </c>
      <c r="P504" s="26" t="str">
        <f>IF(
   T_Channel[[#This Row],[Check]]&lt;&gt;"OK",
   "",
   IF(
      T_Channel[[#This Row],[Query]]="",
      "Empty",
      "Defined"
   )
)</f>
        <v/>
      </c>
      <c r="Q504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504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504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50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504" s="20" t="str">
        <f>IF(
   T_Channel[[#This Row],[Check]]&lt;&gt;"OK",
   "",
   T_Channel[[#This Row],[ChannelSymbol]] &amp; ".evtx"
)</f>
        <v/>
      </c>
      <c r="V504" s="20" t="str">
        <f>IF(
   T_Channel[[#This Row],[Check]]&lt;&gt;"OK",
   "",
   T_Channel[[#This Row],[LogFolder]] &amp; "\" &amp; T_Channel[[#This Row],[LogFile]]
)</f>
        <v/>
      </c>
      <c r="W504" s="20" t="str">
        <f>IF(
   T_Channel[[#This Row],[Safekeeping of logs]]="",
   "",
   VLOOKUP(T_Channel[[#This Row],[Safekeeping of logs]],T_List_LogMode[],2,FALSE)
)</f>
        <v/>
      </c>
      <c r="X504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505" spans="2:24" x14ac:dyDescent="0.45">
      <c r="B505" s="7"/>
      <c r="C505" s="7"/>
      <c r="D505" s="7"/>
      <c r="E505" s="7"/>
      <c r="F505" s="6"/>
      <c r="G505" s="6"/>
      <c r="H505" s="6"/>
      <c r="I505" s="6"/>
      <c r="J505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505" s="21"/>
      <c r="L505" s="7"/>
      <c r="M505" s="41"/>
      <c r="N505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505" s="26" t="str">
        <f>IF(
   T_Channel[[#This Row],[ProviderName]]="",
   "",
   COUNTIF($N$12:$N$9982,T_Channel[[#This Row],[ProviderName]])
)</f>
        <v/>
      </c>
      <c r="P505" s="26" t="str">
        <f>IF(
   T_Channel[[#This Row],[Check]]&lt;&gt;"OK",
   "",
   IF(
      T_Channel[[#This Row],[Query]]="",
      "Empty",
      "Defined"
   )
)</f>
        <v/>
      </c>
      <c r="Q505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505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505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50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505" s="20" t="str">
        <f>IF(
   T_Channel[[#This Row],[Check]]&lt;&gt;"OK",
   "",
   T_Channel[[#This Row],[ChannelSymbol]] &amp; ".evtx"
)</f>
        <v/>
      </c>
      <c r="V505" s="20" t="str">
        <f>IF(
   T_Channel[[#This Row],[Check]]&lt;&gt;"OK",
   "",
   T_Channel[[#This Row],[LogFolder]] &amp; "\" &amp; T_Channel[[#This Row],[LogFile]]
)</f>
        <v/>
      </c>
      <c r="W505" s="20" t="str">
        <f>IF(
   T_Channel[[#This Row],[Safekeeping of logs]]="",
   "",
   VLOOKUP(T_Channel[[#This Row],[Safekeeping of logs]],T_List_LogMode[],2,FALSE)
)</f>
        <v/>
      </c>
      <c r="X505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506" spans="2:24" x14ac:dyDescent="0.45">
      <c r="B506" s="7"/>
      <c r="C506" s="7"/>
      <c r="D506" s="7"/>
      <c r="E506" s="7"/>
      <c r="F506" s="6"/>
      <c r="G506" s="6"/>
      <c r="H506" s="6"/>
      <c r="I506" s="6"/>
      <c r="J506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506" s="21"/>
      <c r="L506" s="7"/>
      <c r="M506" s="41"/>
      <c r="N506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506" s="26" t="str">
        <f>IF(
   T_Channel[[#This Row],[ProviderName]]="",
   "",
   COUNTIF($N$12:$N$9982,T_Channel[[#This Row],[ProviderName]])
)</f>
        <v/>
      </c>
      <c r="P506" s="26" t="str">
        <f>IF(
   T_Channel[[#This Row],[Check]]&lt;&gt;"OK",
   "",
   IF(
      T_Channel[[#This Row],[Query]]="",
      "Empty",
      "Defined"
   )
)</f>
        <v/>
      </c>
      <c r="Q506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506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506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50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506" s="20" t="str">
        <f>IF(
   T_Channel[[#This Row],[Check]]&lt;&gt;"OK",
   "",
   T_Channel[[#This Row],[ChannelSymbol]] &amp; ".evtx"
)</f>
        <v/>
      </c>
      <c r="V506" s="20" t="str">
        <f>IF(
   T_Channel[[#This Row],[Check]]&lt;&gt;"OK",
   "",
   T_Channel[[#This Row],[LogFolder]] &amp; "\" &amp; T_Channel[[#This Row],[LogFile]]
)</f>
        <v/>
      </c>
      <c r="W506" s="20" t="str">
        <f>IF(
   T_Channel[[#This Row],[Safekeeping of logs]]="",
   "",
   VLOOKUP(T_Channel[[#This Row],[Safekeeping of logs]],T_List_LogMode[],2,FALSE)
)</f>
        <v/>
      </c>
      <c r="X506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507" spans="2:24" x14ac:dyDescent="0.45">
      <c r="B507" s="7"/>
      <c r="C507" s="7"/>
      <c r="D507" s="7"/>
      <c r="E507" s="7"/>
      <c r="F507" s="6"/>
      <c r="G507" s="6"/>
      <c r="H507" s="6"/>
      <c r="I507" s="6"/>
      <c r="J507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507" s="21"/>
      <c r="L507" s="7"/>
      <c r="M507" s="41"/>
      <c r="N507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507" s="26" t="str">
        <f>IF(
   T_Channel[[#This Row],[ProviderName]]="",
   "",
   COUNTIF($N$12:$N$9982,T_Channel[[#This Row],[ProviderName]])
)</f>
        <v/>
      </c>
      <c r="P507" s="26" t="str">
        <f>IF(
   T_Channel[[#This Row],[Check]]&lt;&gt;"OK",
   "",
   IF(
      T_Channel[[#This Row],[Query]]="",
      "Empty",
      "Defined"
   )
)</f>
        <v/>
      </c>
      <c r="Q507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507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507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50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507" s="20" t="str">
        <f>IF(
   T_Channel[[#This Row],[Check]]&lt;&gt;"OK",
   "",
   T_Channel[[#This Row],[ChannelSymbol]] &amp; ".evtx"
)</f>
        <v/>
      </c>
      <c r="V507" s="20" t="str">
        <f>IF(
   T_Channel[[#This Row],[Check]]&lt;&gt;"OK",
   "",
   T_Channel[[#This Row],[LogFolder]] &amp; "\" &amp; T_Channel[[#This Row],[LogFile]]
)</f>
        <v/>
      </c>
      <c r="W507" s="20" t="str">
        <f>IF(
   T_Channel[[#This Row],[Safekeeping of logs]]="",
   "",
   VLOOKUP(T_Channel[[#This Row],[Safekeeping of logs]],T_List_LogMode[],2,FALSE)
)</f>
        <v/>
      </c>
      <c r="X507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508" spans="2:24" x14ac:dyDescent="0.45">
      <c r="B508" s="7"/>
      <c r="C508" s="7"/>
      <c r="D508" s="7"/>
      <c r="E508" s="7"/>
      <c r="F508" s="6"/>
      <c r="G508" s="6"/>
      <c r="H508" s="6"/>
      <c r="I508" s="6"/>
      <c r="J508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508" s="21"/>
      <c r="L508" s="7"/>
      <c r="M508" s="41"/>
      <c r="N508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508" s="26" t="str">
        <f>IF(
   T_Channel[[#This Row],[ProviderName]]="",
   "",
   COUNTIF($N$12:$N$9982,T_Channel[[#This Row],[ProviderName]])
)</f>
        <v/>
      </c>
      <c r="P508" s="26" t="str">
        <f>IF(
   T_Channel[[#This Row],[Check]]&lt;&gt;"OK",
   "",
   IF(
      T_Channel[[#This Row],[Query]]="",
      "Empty",
      "Defined"
   )
)</f>
        <v/>
      </c>
      <c r="Q508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508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508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50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508" s="20" t="str">
        <f>IF(
   T_Channel[[#This Row],[Check]]&lt;&gt;"OK",
   "",
   T_Channel[[#This Row],[ChannelSymbol]] &amp; ".evtx"
)</f>
        <v/>
      </c>
      <c r="V508" s="20" t="str">
        <f>IF(
   T_Channel[[#This Row],[Check]]&lt;&gt;"OK",
   "",
   T_Channel[[#This Row],[LogFolder]] &amp; "\" &amp; T_Channel[[#This Row],[LogFile]]
)</f>
        <v/>
      </c>
      <c r="W508" s="20" t="str">
        <f>IF(
   T_Channel[[#This Row],[Safekeeping of logs]]="",
   "",
   VLOOKUP(T_Channel[[#This Row],[Safekeeping of logs]],T_List_LogMode[],2,FALSE)
)</f>
        <v/>
      </c>
      <c r="X508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509" spans="2:24" x14ac:dyDescent="0.45">
      <c r="B509" s="7"/>
      <c r="C509" s="7"/>
      <c r="D509" s="7"/>
      <c r="E509" s="7"/>
      <c r="F509" s="6"/>
      <c r="G509" s="6"/>
      <c r="H509" s="6"/>
      <c r="I509" s="6"/>
      <c r="J509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509" s="21"/>
      <c r="L509" s="7"/>
      <c r="M509" s="41"/>
      <c r="N509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509" s="26" t="str">
        <f>IF(
   T_Channel[[#This Row],[ProviderName]]="",
   "",
   COUNTIF($N$12:$N$9982,T_Channel[[#This Row],[ProviderName]])
)</f>
        <v/>
      </c>
      <c r="P509" s="26" t="str">
        <f>IF(
   T_Channel[[#This Row],[Check]]&lt;&gt;"OK",
   "",
   IF(
      T_Channel[[#This Row],[Query]]="",
      "Empty",
      "Defined"
   )
)</f>
        <v/>
      </c>
      <c r="Q509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509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509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50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509" s="20" t="str">
        <f>IF(
   T_Channel[[#This Row],[Check]]&lt;&gt;"OK",
   "",
   T_Channel[[#This Row],[ChannelSymbol]] &amp; ".evtx"
)</f>
        <v/>
      </c>
      <c r="V509" s="20" t="str">
        <f>IF(
   T_Channel[[#This Row],[Check]]&lt;&gt;"OK",
   "",
   T_Channel[[#This Row],[LogFolder]] &amp; "\" &amp; T_Channel[[#This Row],[LogFile]]
)</f>
        <v/>
      </c>
      <c r="W509" s="20" t="str">
        <f>IF(
   T_Channel[[#This Row],[Safekeeping of logs]]="",
   "",
   VLOOKUP(T_Channel[[#This Row],[Safekeeping of logs]],T_List_LogMode[],2,FALSE)
)</f>
        <v/>
      </c>
      <c r="X509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510" spans="2:24" x14ac:dyDescent="0.45">
      <c r="B510" s="7"/>
      <c r="C510" s="7"/>
      <c r="D510" s="7"/>
      <c r="E510" s="7"/>
      <c r="F510" s="6"/>
      <c r="G510" s="6"/>
      <c r="H510" s="6"/>
      <c r="I510" s="6"/>
      <c r="J510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510" s="21"/>
      <c r="L510" s="7"/>
      <c r="M510" s="41"/>
      <c r="N510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510" s="26" t="str">
        <f>IF(
   T_Channel[[#This Row],[ProviderName]]="",
   "",
   COUNTIF($N$12:$N$9982,T_Channel[[#This Row],[ProviderName]])
)</f>
        <v/>
      </c>
      <c r="P510" s="26" t="str">
        <f>IF(
   T_Channel[[#This Row],[Check]]&lt;&gt;"OK",
   "",
   IF(
      T_Channel[[#This Row],[Query]]="",
      "Empty",
      "Defined"
   )
)</f>
        <v/>
      </c>
      <c r="Q510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510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510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51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510" s="20" t="str">
        <f>IF(
   T_Channel[[#This Row],[Check]]&lt;&gt;"OK",
   "",
   T_Channel[[#This Row],[ChannelSymbol]] &amp; ".evtx"
)</f>
        <v/>
      </c>
      <c r="V510" s="20" t="str">
        <f>IF(
   T_Channel[[#This Row],[Check]]&lt;&gt;"OK",
   "",
   T_Channel[[#This Row],[LogFolder]] &amp; "\" &amp; T_Channel[[#This Row],[LogFile]]
)</f>
        <v/>
      </c>
      <c r="W510" s="20" t="str">
        <f>IF(
   T_Channel[[#This Row],[Safekeeping of logs]]="",
   "",
   VLOOKUP(T_Channel[[#This Row],[Safekeeping of logs]],T_List_LogMode[],2,FALSE)
)</f>
        <v/>
      </c>
      <c r="X510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511" spans="2:24" x14ac:dyDescent="0.45">
      <c r="B511" s="7"/>
      <c r="C511" s="7"/>
      <c r="D511" s="7"/>
      <c r="E511" s="7"/>
      <c r="F511" s="6"/>
      <c r="G511" s="6"/>
      <c r="H511" s="6"/>
      <c r="I511" s="6"/>
      <c r="J511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511" s="21"/>
      <c r="L511" s="7"/>
      <c r="M511" s="41"/>
      <c r="N511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511" s="26" t="str">
        <f>IF(
   T_Channel[[#This Row],[ProviderName]]="",
   "",
   COUNTIF($N$12:$N$9982,T_Channel[[#This Row],[ProviderName]])
)</f>
        <v/>
      </c>
      <c r="P511" s="26" t="str">
        <f>IF(
   T_Channel[[#This Row],[Check]]&lt;&gt;"OK",
   "",
   IF(
      T_Channel[[#This Row],[Query]]="",
      "Empty",
      "Defined"
   )
)</f>
        <v/>
      </c>
      <c r="Q511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511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511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51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511" s="20" t="str">
        <f>IF(
   T_Channel[[#This Row],[Check]]&lt;&gt;"OK",
   "",
   T_Channel[[#This Row],[ChannelSymbol]] &amp; ".evtx"
)</f>
        <v/>
      </c>
      <c r="V511" s="20" t="str">
        <f>IF(
   T_Channel[[#This Row],[Check]]&lt;&gt;"OK",
   "",
   T_Channel[[#This Row],[LogFolder]] &amp; "\" &amp; T_Channel[[#This Row],[LogFile]]
)</f>
        <v/>
      </c>
      <c r="W511" s="20" t="str">
        <f>IF(
   T_Channel[[#This Row],[Safekeeping of logs]]="",
   "",
   VLOOKUP(T_Channel[[#This Row],[Safekeeping of logs]],T_List_LogMode[],2,FALSE)
)</f>
        <v/>
      </c>
      <c r="X511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512" spans="2:24" x14ac:dyDescent="0.45">
      <c r="B512" s="7"/>
      <c r="C512" s="7"/>
      <c r="D512" s="7"/>
      <c r="E512" s="7"/>
      <c r="F512" s="6"/>
      <c r="G512" s="6"/>
      <c r="H512" s="6"/>
      <c r="I512" s="6"/>
      <c r="J512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512" s="21"/>
      <c r="L512" s="7"/>
      <c r="M512" s="41"/>
      <c r="N512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512" s="26" t="str">
        <f>IF(
   T_Channel[[#This Row],[ProviderName]]="",
   "",
   COUNTIF($N$12:$N$9982,T_Channel[[#This Row],[ProviderName]])
)</f>
        <v/>
      </c>
      <c r="P512" s="26" t="str">
        <f>IF(
   T_Channel[[#This Row],[Check]]&lt;&gt;"OK",
   "",
   IF(
      T_Channel[[#This Row],[Query]]="",
      "Empty",
      "Defined"
   )
)</f>
        <v/>
      </c>
      <c r="Q512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512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512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51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512" s="20" t="str">
        <f>IF(
   T_Channel[[#This Row],[Check]]&lt;&gt;"OK",
   "",
   T_Channel[[#This Row],[ChannelSymbol]] &amp; ".evtx"
)</f>
        <v/>
      </c>
      <c r="V512" s="20" t="str">
        <f>IF(
   T_Channel[[#This Row],[Check]]&lt;&gt;"OK",
   "",
   T_Channel[[#This Row],[LogFolder]] &amp; "\" &amp; T_Channel[[#This Row],[LogFile]]
)</f>
        <v/>
      </c>
      <c r="W512" s="20" t="str">
        <f>IF(
   T_Channel[[#This Row],[Safekeeping of logs]]="",
   "",
   VLOOKUP(T_Channel[[#This Row],[Safekeeping of logs]],T_List_LogMode[],2,FALSE)
)</f>
        <v/>
      </c>
      <c r="X512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513" spans="2:24" x14ac:dyDescent="0.45">
      <c r="B513" s="7"/>
      <c r="C513" s="7"/>
      <c r="D513" s="7"/>
      <c r="E513" s="7"/>
      <c r="F513" s="6"/>
      <c r="G513" s="6"/>
      <c r="H513" s="6"/>
      <c r="I513" s="6"/>
      <c r="J513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513" s="21"/>
      <c r="L513" s="7"/>
      <c r="M513" s="41"/>
      <c r="N513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513" s="26" t="str">
        <f>IF(
   T_Channel[[#This Row],[ProviderName]]="",
   "",
   COUNTIF($N$12:$N$9982,T_Channel[[#This Row],[ProviderName]])
)</f>
        <v/>
      </c>
      <c r="P513" s="26" t="str">
        <f>IF(
   T_Channel[[#This Row],[Check]]&lt;&gt;"OK",
   "",
   IF(
      T_Channel[[#This Row],[Query]]="",
      "Empty",
      "Defined"
   )
)</f>
        <v/>
      </c>
      <c r="Q513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513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513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51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513" s="20" t="str">
        <f>IF(
   T_Channel[[#This Row],[Check]]&lt;&gt;"OK",
   "",
   T_Channel[[#This Row],[ChannelSymbol]] &amp; ".evtx"
)</f>
        <v/>
      </c>
      <c r="V513" s="20" t="str">
        <f>IF(
   T_Channel[[#This Row],[Check]]&lt;&gt;"OK",
   "",
   T_Channel[[#This Row],[LogFolder]] &amp; "\" &amp; T_Channel[[#This Row],[LogFile]]
)</f>
        <v/>
      </c>
      <c r="W513" s="20" t="str">
        <f>IF(
   T_Channel[[#This Row],[Safekeeping of logs]]="",
   "",
   VLOOKUP(T_Channel[[#This Row],[Safekeeping of logs]],T_List_LogMode[],2,FALSE)
)</f>
        <v/>
      </c>
      <c r="X513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514" spans="2:24" x14ac:dyDescent="0.45">
      <c r="B514" s="7"/>
      <c r="C514" s="7"/>
      <c r="D514" s="7"/>
      <c r="E514" s="7"/>
      <c r="F514" s="6"/>
      <c r="G514" s="6"/>
      <c r="H514" s="6"/>
      <c r="I514" s="6"/>
      <c r="J514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514" s="21"/>
      <c r="L514" s="7"/>
      <c r="M514" s="41"/>
      <c r="N514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514" s="26" t="str">
        <f>IF(
   T_Channel[[#This Row],[ProviderName]]="",
   "",
   COUNTIF($N$12:$N$9982,T_Channel[[#This Row],[ProviderName]])
)</f>
        <v/>
      </c>
      <c r="P514" s="26" t="str">
        <f>IF(
   T_Channel[[#This Row],[Check]]&lt;&gt;"OK",
   "",
   IF(
      T_Channel[[#This Row],[Query]]="",
      "Empty",
      "Defined"
   )
)</f>
        <v/>
      </c>
      <c r="Q514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514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514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51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514" s="20" t="str">
        <f>IF(
   T_Channel[[#This Row],[Check]]&lt;&gt;"OK",
   "",
   T_Channel[[#This Row],[ChannelSymbol]] &amp; ".evtx"
)</f>
        <v/>
      </c>
      <c r="V514" s="20" t="str">
        <f>IF(
   T_Channel[[#This Row],[Check]]&lt;&gt;"OK",
   "",
   T_Channel[[#This Row],[LogFolder]] &amp; "\" &amp; T_Channel[[#This Row],[LogFile]]
)</f>
        <v/>
      </c>
      <c r="W514" s="20" t="str">
        <f>IF(
   T_Channel[[#This Row],[Safekeeping of logs]]="",
   "",
   VLOOKUP(T_Channel[[#This Row],[Safekeeping of logs]],T_List_LogMode[],2,FALSE)
)</f>
        <v/>
      </c>
      <c r="X514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515" spans="2:24" x14ac:dyDescent="0.45">
      <c r="B515" s="7"/>
      <c r="C515" s="7"/>
      <c r="D515" s="7"/>
      <c r="E515" s="7"/>
      <c r="F515" s="6"/>
      <c r="G515" s="6"/>
      <c r="H515" s="6"/>
      <c r="I515" s="6"/>
      <c r="J515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515" s="21"/>
      <c r="L515" s="7"/>
      <c r="M515" s="41"/>
      <c r="N515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515" s="26" t="str">
        <f>IF(
   T_Channel[[#This Row],[ProviderName]]="",
   "",
   COUNTIF($N$12:$N$9982,T_Channel[[#This Row],[ProviderName]])
)</f>
        <v/>
      </c>
      <c r="P515" s="26" t="str">
        <f>IF(
   T_Channel[[#This Row],[Check]]&lt;&gt;"OK",
   "",
   IF(
      T_Channel[[#This Row],[Query]]="",
      "Empty",
      "Defined"
   )
)</f>
        <v/>
      </c>
      <c r="Q515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515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515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51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515" s="20" t="str">
        <f>IF(
   T_Channel[[#This Row],[Check]]&lt;&gt;"OK",
   "",
   T_Channel[[#This Row],[ChannelSymbol]] &amp; ".evtx"
)</f>
        <v/>
      </c>
      <c r="V515" s="20" t="str">
        <f>IF(
   T_Channel[[#This Row],[Check]]&lt;&gt;"OK",
   "",
   T_Channel[[#This Row],[LogFolder]] &amp; "\" &amp; T_Channel[[#This Row],[LogFile]]
)</f>
        <v/>
      </c>
      <c r="W515" s="20" t="str">
        <f>IF(
   T_Channel[[#This Row],[Safekeeping of logs]]="",
   "",
   VLOOKUP(T_Channel[[#This Row],[Safekeeping of logs]],T_List_LogMode[],2,FALSE)
)</f>
        <v/>
      </c>
      <c r="X515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516" spans="2:24" x14ac:dyDescent="0.45">
      <c r="B516" s="7"/>
      <c r="C516" s="7"/>
      <c r="D516" s="7"/>
      <c r="E516" s="7"/>
      <c r="F516" s="6"/>
      <c r="G516" s="6"/>
      <c r="H516" s="6"/>
      <c r="I516" s="6"/>
      <c r="J516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516" s="21"/>
      <c r="L516" s="7"/>
      <c r="M516" s="41"/>
      <c r="N516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516" s="26" t="str">
        <f>IF(
   T_Channel[[#This Row],[ProviderName]]="",
   "",
   COUNTIF($N$12:$N$9982,T_Channel[[#This Row],[ProviderName]])
)</f>
        <v/>
      </c>
      <c r="P516" s="26" t="str">
        <f>IF(
   T_Channel[[#This Row],[Check]]&lt;&gt;"OK",
   "",
   IF(
      T_Channel[[#This Row],[Query]]="",
      "Empty",
      "Defined"
   )
)</f>
        <v/>
      </c>
      <c r="Q516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516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516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51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516" s="20" t="str">
        <f>IF(
   T_Channel[[#This Row],[Check]]&lt;&gt;"OK",
   "",
   T_Channel[[#This Row],[ChannelSymbol]] &amp; ".evtx"
)</f>
        <v/>
      </c>
      <c r="V516" s="20" t="str">
        <f>IF(
   T_Channel[[#This Row],[Check]]&lt;&gt;"OK",
   "",
   T_Channel[[#This Row],[LogFolder]] &amp; "\" &amp; T_Channel[[#This Row],[LogFile]]
)</f>
        <v/>
      </c>
      <c r="W516" s="20" t="str">
        <f>IF(
   T_Channel[[#This Row],[Safekeeping of logs]]="",
   "",
   VLOOKUP(T_Channel[[#This Row],[Safekeeping of logs]],T_List_LogMode[],2,FALSE)
)</f>
        <v/>
      </c>
      <c r="X516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517" spans="2:24" x14ac:dyDescent="0.45">
      <c r="B517" s="7"/>
      <c r="C517" s="7"/>
      <c r="D517" s="7"/>
      <c r="E517" s="7"/>
      <c r="F517" s="6"/>
      <c r="G517" s="6"/>
      <c r="H517" s="6"/>
      <c r="I517" s="6"/>
      <c r="J517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517" s="21"/>
      <c r="L517" s="7"/>
      <c r="M517" s="41"/>
      <c r="N517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517" s="26" t="str">
        <f>IF(
   T_Channel[[#This Row],[ProviderName]]="",
   "",
   COUNTIF($N$12:$N$9982,T_Channel[[#This Row],[ProviderName]])
)</f>
        <v/>
      </c>
      <c r="P517" s="26" t="str">
        <f>IF(
   T_Channel[[#This Row],[Check]]&lt;&gt;"OK",
   "",
   IF(
      T_Channel[[#This Row],[Query]]="",
      "Empty",
      "Defined"
   )
)</f>
        <v/>
      </c>
      <c r="Q517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517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517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51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517" s="20" t="str">
        <f>IF(
   T_Channel[[#This Row],[Check]]&lt;&gt;"OK",
   "",
   T_Channel[[#This Row],[ChannelSymbol]] &amp; ".evtx"
)</f>
        <v/>
      </c>
      <c r="V517" s="20" t="str">
        <f>IF(
   T_Channel[[#This Row],[Check]]&lt;&gt;"OK",
   "",
   T_Channel[[#This Row],[LogFolder]] &amp; "\" &amp; T_Channel[[#This Row],[LogFile]]
)</f>
        <v/>
      </c>
      <c r="W517" s="20" t="str">
        <f>IF(
   T_Channel[[#This Row],[Safekeeping of logs]]="",
   "",
   VLOOKUP(T_Channel[[#This Row],[Safekeeping of logs]],T_List_LogMode[],2,FALSE)
)</f>
        <v/>
      </c>
      <c r="X517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518" spans="2:24" x14ac:dyDescent="0.45">
      <c r="B518" s="7"/>
      <c r="C518" s="7"/>
      <c r="D518" s="7"/>
      <c r="E518" s="7"/>
      <c r="F518" s="6"/>
      <c r="G518" s="6"/>
      <c r="H518" s="6"/>
      <c r="I518" s="6"/>
      <c r="J518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518" s="21"/>
      <c r="L518" s="7"/>
      <c r="M518" s="41"/>
      <c r="N518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518" s="26" t="str">
        <f>IF(
   T_Channel[[#This Row],[ProviderName]]="",
   "",
   COUNTIF($N$12:$N$9982,T_Channel[[#This Row],[ProviderName]])
)</f>
        <v/>
      </c>
      <c r="P518" s="26" t="str">
        <f>IF(
   T_Channel[[#This Row],[Check]]&lt;&gt;"OK",
   "",
   IF(
      T_Channel[[#This Row],[Query]]="",
      "Empty",
      "Defined"
   )
)</f>
        <v/>
      </c>
      <c r="Q518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518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518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51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518" s="20" t="str">
        <f>IF(
   T_Channel[[#This Row],[Check]]&lt;&gt;"OK",
   "",
   T_Channel[[#This Row],[ChannelSymbol]] &amp; ".evtx"
)</f>
        <v/>
      </c>
      <c r="V518" s="20" t="str">
        <f>IF(
   T_Channel[[#This Row],[Check]]&lt;&gt;"OK",
   "",
   T_Channel[[#This Row],[LogFolder]] &amp; "\" &amp; T_Channel[[#This Row],[LogFile]]
)</f>
        <v/>
      </c>
      <c r="W518" s="20" t="str">
        <f>IF(
   T_Channel[[#This Row],[Safekeeping of logs]]="",
   "",
   VLOOKUP(T_Channel[[#This Row],[Safekeeping of logs]],T_List_LogMode[],2,FALSE)
)</f>
        <v/>
      </c>
      <c r="X518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519" spans="2:24" x14ac:dyDescent="0.45">
      <c r="B519" s="7"/>
      <c r="C519" s="7"/>
      <c r="D519" s="7"/>
      <c r="E519" s="7"/>
      <c r="F519" s="6"/>
      <c r="G519" s="6"/>
      <c r="H519" s="6"/>
      <c r="I519" s="6"/>
      <c r="J519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519" s="21"/>
      <c r="L519" s="7"/>
      <c r="M519" s="41"/>
      <c r="N519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519" s="26" t="str">
        <f>IF(
   T_Channel[[#This Row],[ProviderName]]="",
   "",
   COUNTIF($N$12:$N$9982,T_Channel[[#This Row],[ProviderName]])
)</f>
        <v/>
      </c>
      <c r="P519" s="26" t="str">
        <f>IF(
   T_Channel[[#This Row],[Check]]&lt;&gt;"OK",
   "",
   IF(
      T_Channel[[#This Row],[Query]]="",
      "Empty",
      "Defined"
   )
)</f>
        <v/>
      </c>
      <c r="Q519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519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519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51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519" s="20" t="str">
        <f>IF(
   T_Channel[[#This Row],[Check]]&lt;&gt;"OK",
   "",
   T_Channel[[#This Row],[ChannelSymbol]] &amp; ".evtx"
)</f>
        <v/>
      </c>
      <c r="V519" s="20" t="str">
        <f>IF(
   T_Channel[[#This Row],[Check]]&lt;&gt;"OK",
   "",
   T_Channel[[#This Row],[LogFolder]] &amp; "\" &amp; T_Channel[[#This Row],[LogFile]]
)</f>
        <v/>
      </c>
      <c r="W519" s="20" t="str">
        <f>IF(
   T_Channel[[#This Row],[Safekeeping of logs]]="",
   "",
   VLOOKUP(T_Channel[[#This Row],[Safekeeping of logs]],T_List_LogMode[],2,FALSE)
)</f>
        <v/>
      </c>
      <c r="X519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520" spans="2:24" x14ac:dyDescent="0.45">
      <c r="B520" s="7"/>
      <c r="C520" s="7"/>
      <c r="D520" s="7"/>
      <c r="E520" s="7"/>
      <c r="F520" s="6"/>
      <c r="G520" s="6"/>
      <c r="H520" s="6"/>
      <c r="I520" s="6"/>
      <c r="J520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520" s="21"/>
      <c r="L520" s="7"/>
      <c r="M520" s="41"/>
      <c r="N520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520" s="26" t="str">
        <f>IF(
   T_Channel[[#This Row],[ProviderName]]="",
   "",
   COUNTIF($N$12:$N$9982,T_Channel[[#This Row],[ProviderName]])
)</f>
        <v/>
      </c>
      <c r="P520" s="26" t="str">
        <f>IF(
   T_Channel[[#This Row],[Check]]&lt;&gt;"OK",
   "",
   IF(
      T_Channel[[#This Row],[Query]]="",
      "Empty",
      "Defined"
   )
)</f>
        <v/>
      </c>
      <c r="Q520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520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520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52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520" s="20" t="str">
        <f>IF(
   T_Channel[[#This Row],[Check]]&lt;&gt;"OK",
   "",
   T_Channel[[#This Row],[ChannelSymbol]] &amp; ".evtx"
)</f>
        <v/>
      </c>
      <c r="V520" s="20" t="str">
        <f>IF(
   T_Channel[[#This Row],[Check]]&lt;&gt;"OK",
   "",
   T_Channel[[#This Row],[LogFolder]] &amp; "\" &amp; T_Channel[[#This Row],[LogFile]]
)</f>
        <v/>
      </c>
      <c r="W520" s="20" t="str">
        <f>IF(
   T_Channel[[#This Row],[Safekeeping of logs]]="",
   "",
   VLOOKUP(T_Channel[[#This Row],[Safekeeping of logs]],T_List_LogMode[],2,FALSE)
)</f>
        <v/>
      </c>
      <c r="X520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521" spans="2:24" x14ac:dyDescent="0.45">
      <c r="B521" s="7"/>
      <c r="C521" s="7"/>
      <c r="D521" s="7"/>
      <c r="E521" s="7"/>
      <c r="F521" s="6"/>
      <c r="G521" s="6"/>
      <c r="H521" s="6"/>
      <c r="I521" s="6"/>
      <c r="J521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521" s="21"/>
      <c r="L521" s="7"/>
      <c r="M521" s="41"/>
      <c r="N521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521" s="26" t="str">
        <f>IF(
   T_Channel[[#This Row],[ProviderName]]="",
   "",
   COUNTIF($N$12:$N$9982,T_Channel[[#This Row],[ProviderName]])
)</f>
        <v/>
      </c>
      <c r="P521" s="26" t="str">
        <f>IF(
   T_Channel[[#This Row],[Check]]&lt;&gt;"OK",
   "",
   IF(
      T_Channel[[#This Row],[Query]]="",
      "Empty",
      "Defined"
   )
)</f>
        <v/>
      </c>
      <c r="Q521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521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521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52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521" s="20" t="str">
        <f>IF(
   T_Channel[[#This Row],[Check]]&lt;&gt;"OK",
   "",
   T_Channel[[#This Row],[ChannelSymbol]] &amp; ".evtx"
)</f>
        <v/>
      </c>
      <c r="V521" s="20" t="str">
        <f>IF(
   T_Channel[[#This Row],[Check]]&lt;&gt;"OK",
   "",
   T_Channel[[#This Row],[LogFolder]] &amp; "\" &amp; T_Channel[[#This Row],[LogFile]]
)</f>
        <v/>
      </c>
      <c r="W521" s="20" t="str">
        <f>IF(
   T_Channel[[#This Row],[Safekeeping of logs]]="",
   "",
   VLOOKUP(T_Channel[[#This Row],[Safekeeping of logs]],T_List_LogMode[],2,FALSE)
)</f>
        <v/>
      </c>
      <c r="X521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522" spans="2:24" x14ac:dyDescent="0.45">
      <c r="B522" s="7"/>
      <c r="C522" s="7"/>
      <c r="D522" s="7"/>
      <c r="E522" s="7"/>
      <c r="F522" s="6"/>
      <c r="G522" s="6"/>
      <c r="H522" s="6"/>
      <c r="I522" s="6"/>
      <c r="J522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522" s="21"/>
      <c r="L522" s="7"/>
      <c r="M522" s="41"/>
      <c r="N522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522" s="26" t="str">
        <f>IF(
   T_Channel[[#This Row],[ProviderName]]="",
   "",
   COUNTIF($N$12:$N$9982,T_Channel[[#This Row],[ProviderName]])
)</f>
        <v/>
      </c>
      <c r="P522" s="26" t="str">
        <f>IF(
   T_Channel[[#This Row],[Check]]&lt;&gt;"OK",
   "",
   IF(
      T_Channel[[#This Row],[Query]]="",
      "Empty",
      "Defined"
   )
)</f>
        <v/>
      </c>
      <c r="Q522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522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522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52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522" s="20" t="str">
        <f>IF(
   T_Channel[[#This Row],[Check]]&lt;&gt;"OK",
   "",
   T_Channel[[#This Row],[ChannelSymbol]] &amp; ".evtx"
)</f>
        <v/>
      </c>
      <c r="V522" s="20" t="str">
        <f>IF(
   T_Channel[[#This Row],[Check]]&lt;&gt;"OK",
   "",
   T_Channel[[#This Row],[LogFolder]] &amp; "\" &amp; T_Channel[[#This Row],[LogFile]]
)</f>
        <v/>
      </c>
      <c r="W522" s="20" t="str">
        <f>IF(
   T_Channel[[#This Row],[Safekeeping of logs]]="",
   "",
   VLOOKUP(T_Channel[[#This Row],[Safekeeping of logs]],T_List_LogMode[],2,FALSE)
)</f>
        <v/>
      </c>
      <c r="X522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523" spans="2:24" x14ac:dyDescent="0.45">
      <c r="B523" s="7"/>
      <c r="C523" s="7"/>
      <c r="D523" s="7"/>
      <c r="E523" s="7"/>
      <c r="F523" s="6"/>
      <c r="G523" s="6"/>
      <c r="H523" s="6"/>
      <c r="I523" s="6"/>
      <c r="J523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523" s="21"/>
      <c r="L523" s="7"/>
      <c r="M523" s="41"/>
      <c r="N523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523" s="26" t="str">
        <f>IF(
   T_Channel[[#This Row],[ProviderName]]="",
   "",
   COUNTIF($N$12:$N$9982,T_Channel[[#This Row],[ProviderName]])
)</f>
        <v/>
      </c>
      <c r="P523" s="26" t="str">
        <f>IF(
   T_Channel[[#This Row],[Check]]&lt;&gt;"OK",
   "",
   IF(
      T_Channel[[#This Row],[Query]]="",
      "Empty",
      "Defined"
   )
)</f>
        <v/>
      </c>
      <c r="Q523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523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523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52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523" s="20" t="str">
        <f>IF(
   T_Channel[[#This Row],[Check]]&lt;&gt;"OK",
   "",
   T_Channel[[#This Row],[ChannelSymbol]] &amp; ".evtx"
)</f>
        <v/>
      </c>
      <c r="V523" s="20" t="str">
        <f>IF(
   T_Channel[[#This Row],[Check]]&lt;&gt;"OK",
   "",
   T_Channel[[#This Row],[LogFolder]] &amp; "\" &amp; T_Channel[[#This Row],[LogFile]]
)</f>
        <v/>
      </c>
      <c r="W523" s="20" t="str">
        <f>IF(
   T_Channel[[#This Row],[Safekeeping of logs]]="",
   "",
   VLOOKUP(T_Channel[[#This Row],[Safekeeping of logs]],T_List_LogMode[],2,FALSE)
)</f>
        <v/>
      </c>
      <c r="X523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524" spans="2:24" x14ac:dyDescent="0.45">
      <c r="B524" s="7"/>
      <c r="C524" s="7"/>
      <c r="D524" s="7"/>
      <c r="E524" s="7"/>
      <c r="F524" s="6"/>
      <c r="G524" s="6"/>
      <c r="H524" s="6"/>
      <c r="I524" s="6"/>
      <c r="J524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524" s="21"/>
      <c r="L524" s="7"/>
      <c r="M524" s="41"/>
      <c r="N524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524" s="26" t="str">
        <f>IF(
   T_Channel[[#This Row],[ProviderName]]="",
   "",
   COUNTIF($N$12:$N$9982,T_Channel[[#This Row],[ProviderName]])
)</f>
        <v/>
      </c>
      <c r="P524" s="26" t="str">
        <f>IF(
   T_Channel[[#This Row],[Check]]&lt;&gt;"OK",
   "",
   IF(
      T_Channel[[#This Row],[Query]]="",
      "Empty",
      "Defined"
   )
)</f>
        <v/>
      </c>
      <c r="Q524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524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524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52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524" s="20" t="str">
        <f>IF(
   T_Channel[[#This Row],[Check]]&lt;&gt;"OK",
   "",
   T_Channel[[#This Row],[ChannelSymbol]] &amp; ".evtx"
)</f>
        <v/>
      </c>
      <c r="V524" s="20" t="str">
        <f>IF(
   T_Channel[[#This Row],[Check]]&lt;&gt;"OK",
   "",
   T_Channel[[#This Row],[LogFolder]] &amp; "\" &amp; T_Channel[[#This Row],[LogFile]]
)</f>
        <v/>
      </c>
      <c r="W524" s="20" t="str">
        <f>IF(
   T_Channel[[#This Row],[Safekeeping of logs]]="",
   "",
   VLOOKUP(T_Channel[[#This Row],[Safekeeping of logs]],T_List_LogMode[],2,FALSE)
)</f>
        <v/>
      </c>
      <c r="X524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525" spans="2:24" x14ac:dyDescent="0.45">
      <c r="B525" s="7"/>
      <c r="C525" s="7"/>
      <c r="D525" s="7"/>
      <c r="E525" s="7"/>
      <c r="F525" s="6"/>
      <c r="G525" s="6"/>
      <c r="H525" s="6"/>
      <c r="I525" s="6"/>
      <c r="J525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525" s="21"/>
      <c r="L525" s="7"/>
      <c r="M525" s="41"/>
      <c r="N525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525" s="26" t="str">
        <f>IF(
   T_Channel[[#This Row],[ProviderName]]="",
   "",
   COUNTIF($N$12:$N$9982,T_Channel[[#This Row],[ProviderName]])
)</f>
        <v/>
      </c>
      <c r="P525" s="26" t="str">
        <f>IF(
   T_Channel[[#This Row],[Check]]&lt;&gt;"OK",
   "",
   IF(
      T_Channel[[#This Row],[Query]]="",
      "Empty",
      "Defined"
   )
)</f>
        <v/>
      </c>
      <c r="Q525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525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525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52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525" s="20" t="str">
        <f>IF(
   T_Channel[[#This Row],[Check]]&lt;&gt;"OK",
   "",
   T_Channel[[#This Row],[ChannelSymbol]] &amp; ".evtx"
)</f>
        <v/>
      </c>
      <c r="V525" s="20" t="str">
        <f>IF(
   T_Channel[[#This Row],[Check]]&lt;&gt;"OK",
   "",
   T_Channel[[#This Row],[LogFolder]] &amp; "\" &amp; T_Channel[[#This Row],[LogFile]]
)</f>
        <v/>
      </c>
      <c r="W525" s="20" t="str">
        <f>IF(
   T_Channel[[#This Row],[Safekeeping of logs]]="",
   "",
   VLOOKUP(T_Channel[[#This Row],[Safekeeping of logs]],T_List_LogMode[],2,FALSE)
)</f>
        <v/>
      </c>
      <c r="X525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526" spans="2:24" x14ac:dyDescent="0.45">
      <c r="B526" s="7"/>
      <c r="C526" s="7"/>
      <c r="D526" s="7"/>
      <c r="E526" s="7"/>
      <c r="F526" s="6"/>
      <c r="G526" s="6"/>
      <c r="H526" s="6"/>
      <c r="I526" s="6"/>
      <c r="J526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526" s="21"/>
      <c r="L526" s="7"/>
      <c r="M526" s="41"/>
      <c r="N526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526" s="26" t="str">
        <f>IF(
   T_Channel[[#This Row],[ProviderName]]="",
   "",
   COUNTIF($N$12:$N$9982,T_Channel[[#This Row],[ProviderName]])
)</f>
        <v/>
      </c>
      <c r="P526" s="26" t="str">
        <f>IF(
   T_Channel[[#This Row],[Check]]&lt;&gt;"OK",
   "",
   IF(
      T_Channel[[#This Row],[Query]]="",
      "Empty",
      "Defined"
   )
)</f>
        <v/>
      </c>
      <c r="Q526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526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526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52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526" s="20" t="str">
        <f>IF(
   T_Channel[[#This Row],[Check]]&lt;&gt;"OK",
   "",
   T_Channel[[#This Row],[ChannelSymbol]] &amp; ".evtx"
)</f>
        <v/>
      </c>
      <c r="V526" s="20" t="str">
        <f>IF(
   T_Channel[[#This Row],[Check]]&lt;&gt;"OK",
   "",
   T_Channel[[#This Row],[LogFolder]] &amp; "\" &amp; T_Channel[[#This Row],[LogFile]]
)</f>
        <v/>
      </c>
      <c r="W526" s="20" t="str">
        <f>IF(
   T_Channel[[#This Row],[Safekeeping of logs]]="",
   "",
   VLOOKUP(T_Channel[[#This Row],[Safekeeping of logs]],T_List_LogMode[],2,FALSE)
)</f>
        <v/>
      </c>
      <c r="X526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527" spans="2:24" x14ac:dyDescent="0.45">
      <c r="B527" s="7"/>
      <c r="C527" s="7"/>
      <c r="D527" s="7"/>
      <c r="E527" s="7"/>
      <c r="F527" s="6"/>
      <c r="G527" s="6"/>
      <c r="H527" s="6"/>
      <c r="I527" s="6"/>
      <c r="J527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527" s="21"/>
      <c r="L527" s="7"/>
      <c r="M527" s="41"/>
      <c r="N527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527" s="26" t="str">
        <f>IF(
   T_Channel[[#This Row],[ProviderName]]="",
   "",
   COUNTIF($N$12:$N$9982,T_Channel[[#This Row],[ProviderName]])
)</f>
        <v/>
      </c>
      <c r="P527" s="26" t="str">
        <f>IF(
   T_Channel[[#This Row],[Check]]&lt;&gt;"OK",
   "",
   IF(
      T_Channel[[#This Row],[Query]]="",
      "Empty",
      "Defined"
   )
)</f>
        <v/>
      </c>
      <c r="Q527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527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527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52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527" s="20" t="str">
        <f>IF(
   T_Channel[[#This Row],[Check]]&lt;&gt;"OK",
   "",
   T_Channel[[#This Row],[ChannelSymbol]] &amp; ".evtx"
)</f>
        <v/>
      </c>
      <c r="V527" s="20" t="str">
        <f>IF(
   T_Channel[[#This Row],[Check]]&lt;&gt;"OK",
   "",
   T_Channel[[#This Row],[LogFolder]] &amp; "\" &amp; T_Channel[[#This Row],[LogFile]]
)</f>
        <v/>
      </c>
      <c r="W527" s="20" t="str">
        <f>IF(
   T_Channel[[#This Row],[Safekeeping of logs]]="",
   "",
   VLOOKUP(T_Channel[[#This Row],[Safekeeping of logs]],T_List_LogMode[],2,FALSE)
)</f>
        <v/>
      </c>
      <c r="X527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528" spans="2:24" x14ac:dyDescent="0.45">
      <c r="B528" s="7"/>
      <c r="C528" s="7"/>
      <c r="D528" s="7"/>
      <c r="E528" s="7"/>
      <c r="F528" s="6"/>
      <c r="G528" s="6"/>
      <c r="H528" s="6"/>
      <c r="I528" s="6"/>
      <c r="J528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528" s="21"/>
      <c r="L528" s="7"/>
      <c r="M528" s="41"/>
      <c r="N528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528" s="26" t="str">
        <f>IF(
   T_Channel[[#This Row],[ProviderName]]="",
   "",
   COUNTIF($N$12:$N$9982,T_Channel[[#This Row],[ProviderName]])
)</f>
        <v/>
      </c>
      <c r="P528" s="26" t="str">
        <f>IF(
   T_Channel[[#This Row],[Check]]&lt;&gt;"OK",
   "",
   IF(
      T_Channel[[#This Row],[Query]]="",
      "Empty",
      "Defined"
   )
)</f>
        <v/>
      </c>
      <c r="Q528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528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528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52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528" s="20" t="str">
        <f>IF(
   T_Channel[[#This Row],[Check]]&lt;&gt;"OK",
   "",
   T_Channel[[#This Row],[ChannelSymbol]] &amp; ".evtx"
)</f>
        <v/>
      </c>
      <c r="V528" s="20" t="str">
        <f>IF(
   T_Channel[[#This Row],[Check]]&lt;&gt;"OK",
   "",
   T_Channel[[#This Row],[LogFolder]] &amp; "\" &amp; T_Channel[[#This Row],[LogFile]]
)</f>
        <v/>
      </c>
      <c r="W528" s="20" t="str">
        <f>IF(
   T_Channel[[#This Row],[Safekeeping of logs]]="",
   "",
   VLOOKUP(T_Channel[[#This Row],[Safekeeping of logs]],T_List_LogMode[],2,FALSE)
)</f>
        <v/>
      </c>
      <c r="X528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529" spans="2:24" x14ac:dyDescent="0.45">
      <c r="B529" s="7"/>
      <c r="C529" s="7"/>
      <c r="D529" s="7"/>
      <c r="E529" s="7"/>
      <c r="F529" s="6"/>
      <c r="G529" s="6"/>
      <c r="H529" s="6"/>
      <c r="I529" s="6"/>
      <c r="J529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529" s="21"/>
      <c r="L529" s="7"/>
      <c r="M529" s="41"/>
      <c r="N529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529" s="26" t="str">
        <f>IF(
   T_Channel[[#This Row],[ProviderName]]="",
   "",
   COUNTIF($N$12:$N$9982,T_Channel[[#This Row],[ProviderName]])
)</f>
        <v/>
      </c>
      <c r="P529" s="26" t="str">
        <f>IF(
   T_Channel[[#This Row],[Check]]&lt;&gt;"OK",
   "",
   IF(
      T_Channel[[#This Row],[Query]]="",
      "Empty",
      "Defined"
   )
)</f>
        <v/>
      </c>
      <c r="Q529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529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529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52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529" s="20" t="str">
        <f>IF(
   T_Channel[[#This Row],[Check]]&lt;&gt;"OK",
   "",
   T_Channel[[#This Row],[ChannelSymbol]] &amp; ".evtx"
)</f>
        <v/>
      </c>
      <c r="V529" s="20" t="str">
        <f>IF(
   T_Channel[[#This Row],[Check]]&lt;&gt;"OK",
   "",
   T_Channel[[#This Row],[LogFolder]] &amp; "\" &amp; T_Channel[[#This Row],[LogFile]]
)</f>
        <v/>
      </c>
      <c r="W529" s="20" t="str">
        <f>IF(
   T_Channel[[#This Row],[Safekeeping of logs]]="",
   "",
   VLOOKUP(T_Channel[[#This Row],[Safekeeping of logs]],T_List_LogMode[],2,FALSE)
)</f>
        <v/>
      </c>
      <c r="X529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530" spans="2:24" x14ac:dyDescent="0.45">
      <c r="B530" s="7"/>
      <c r="C530" s="7"/>
      <c r="D530" s="7"/>
      <c r="E530" s="7"/>
      <c r="F530" s="6"/>
      <c r="G530" s="6"/>
      <c r="H530" s="6"/>
      <c r="I530" s="6"/>
      <c r="J530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530" s="21"/>
      <c r="L530" s="7"/>
      <c r="M530" s="41"/>
      <c r="N530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530" s="26" t="str">
        <f>IF(
   T_Channel[[#This Row],[ProviderName]]="",
   "",
   COUNTIF($N$12:$N$9982,T_Channel[[#This Row],[ProviderName]])
)</f>
        <v/>
      </c>
      <c r="P530" s="26" t="str">
        <f>IF(
   T_Channel[[#This Row],[Check]]&lt;&gt;"OK",
   "",
   IF(
      T_Channel[[#This Row],[Query]]="",
      "Empty",
      "Defined"
   )
)</f>
        <v/>
      </c>
      <c r="Q530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530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530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53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530" s="20" t="str">
        <f>IF(
   T_Channel[[#This Row],[Check]]&lt;&gt;"OK",
   "",
   T_Channel[[#This Row],[ChannelSymbol]] &amp; ".evtx"
)</f>
        <v/>
      </c>
      <c r="V530" s="20" t="str">
        <f>IF(
   T_Channel[[#This Row],[Check]]&lt;&gt;"OK",
   "",
   T_Channel[[#This Row],[LogFolder]] &amp; "\" &amp; T_Channel[[#This Row],[LogFile]]
)</f>
        <v/>
      </c>
      <c r="W530" s="20" t="str">
        <f>IF(
   T_Channel[[#This Row],[Safekeeping of logs]]="",
   "",
   VLOOKUP(T_Channel[[#This Row],[Safekeeping of logs]],T_List_LogMode[],2,FALSE)
)</f>
        <v/>
      </c>
      <c r="X530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531" spans="2:24" x14ac:dyDescent="0.45">
      <c r="B531" s="7"/>
      <c r="C531" s="7"/>
      <c r="D531" s="7"/>
      <c r="E531" s="7"/>
      <c r="F531" s="6"/>
      <c r="G531" s="6"/>
      <c r="H531" s="6"/>
      <c r="I531" s="6"/>
      <c r="J531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531" s="21"/>
      <c r="L531" s="7"/>
      <c r="M531" s="41"/>
      <c r="N531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531" s="26" t="str">
        <f>IF(
   T_Channel[[#This Row],[ProviderName]]="",
   "",
   COUNTIF($N$12:$N$9982,T_Channel[[#This Row],[ProviderName]])
)</f>
        <v/>
      </c>
      <c r="P531" s="26" t="str">
        <f>IF(
   T_Channel[[#This Row],[Check]]&lt;&gt;"OK",
   "",
   IF(
      T_Channel[[#This Row],[Query]]="",
      "Empty",
      "Defined"
   )
)</f>
        <v/>
      </c>
      <c r="Q531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531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531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53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531" s="20" t="str">
        <f>IF(
   T_Channel[[#This Row],[Check]]&lt;&gt;"OK",
   "",
   T_Channel[[#This Row],[ChannelSymbol]] &amp; ".evtx"
)</f>
        <v/>
      </c>
      <c r="V531" s="20" t="str">
        <f>IF(
   T_Channel[[#This Row],[Check]]&lt;&gt;"OK",
   "",
   T_Channel[[#This Row],[LogFolder]] &amp; "\" &amp; T_Channel[[#This Row],[LogFile]]
)</f>
        <v/>
      </c>
      <c r="W531" s="20" t="str">
        <f>IF(
   T_Channel[[#This Row],[Safekeeping of logs]]="",
   "",
   VLOOKUP(T_Channel[[#This Row],[Safekeeping of logs]],T_List_LogMode[],2,FALSE)
)</f>
        <v/>
      </c>
      <c r="X531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532" spans="2:24" x14ac:dyDescent="0.45">
      <c r="B532" s="7"/>
      <c r="C532" s="7"/>
      <c r="D532" s="7"/>
      <c r="E532" s="7"/>
      <c r="F532" s="6"/>
      <c r="G532" s="6"/>
      <c r="H532" s="6"/>
      <c r="I532" s="6"/>
      <c r="J532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532" s="21"/>
      <c r="L532" s="7"/>
      <c r="M532" s="41"/>
      <c r="N532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532" s="26" t="str">
        <f>IF(
   T_Channel[[#This Row],[ProviderName]]="",
   "",
   COUNTIF($N$12:$N$9982,T_Channel[[#This Row],[ProviderName]])
)</f>
        <v/>
      </c>
      <c r="P532" s="26" t="str">
        <f>IF(
   T_Channel[[#This Row],[Check]]&lt;&gt;"OK",
   "",
   IF(
      T_Channel[[#This Row],[Query]]="",
      "Empty",
      "Defined"
   )
)</f>
        <v/>
      </c>
      <c r="Q532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532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532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53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532" s="20" t="str">
        <f>IF(
   T_Channel[[#This Row],[Check]]&lt;&gt;"OK",
   "",
   T_Channel[[#This Row],[ChannelSymbol]] &amp; ".evtx"
)</f>
        <v/>
      </c>
      <c r="V532" s="20" t="str">
        <f>IF(
   T_Channel[[#This Row],[Check]]&lt;&gt;"OK",
   "",
   T_Channel[[#This Row],[LogFolder]] &amp; "\" &amp; T_Channel[[#This Row],[LogFile]]
)</f>
        <v/>
      </c>
      <c r="W532" s="20" t="str">
        <f>IF(
   T_Channel[[#This Row],[Safekeeping of logs]]="",
   "",
   VLOOKUP(T_Channel[[#This Row],[Safekeeping of logs]],T_List_LogMode[],2,FALSE)
)</f>
        <v/>
      </c>
      <c r="X532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533" spans="2:24" x14ac:dyDescent="0.45">
      <c r="B533" s="7"/>
      <c r="C533" s="7"/>
      <c r="D533" s="7"/>
      <c r="E533" s="7"/>
      <c r="F533" s="6"/>
      <c r="G533" s="6"/>
      <c r="H533" s="6"/>
      <c r="I533" s="6"/>
      <c r="J533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533" s="21"/>
      <c r="L533" s="7"/>
      <c r="M533" s="41"/>
      <c r="N533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533" s="26" t="str">
        <f>IF(
   T_Channel[[#This Row],[ProviderName]]="",
   "",
   COUNTIF($N$12:$N$9982,T_Channel[[#This Row],[ProviderName]])
)</f>
        <v/>
      </c>
      <c r="P533" s="26" t="str">
        <f>IF(
   T_Channel[[#This Row],[Check]]&lt;&gt;"OK",
   "",
   IF(
      T_Channel[[#This Row],[Query]]="",
      "Empty",
      "Defined"
   )
)</f>
        <v/>
      </c>
      <c r="Q533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533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533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53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533" s="20" t="str">
        <f>IF(
   T_Channel[[#This Row],[Check]]&lt;&gt;"OK",
   "",
   T_Channel[[#This Row],[ChannelSymbol]] &amp; ".evtx"
)</f>
        <v/>
      </c>
      <c r="V533" s="20" t="str">
        <f>IF(
   T_Channel[[#This Row],[Check]]&lt;&gt;"OK",
   "",
   T_Channel[[#This Row],[LogFolder]] &amp; "\" &amp; T_Channel[[#This Row],[LogFile]]
)</f>
        <v/>
      </c>
      <c r="W533" s="20" t="str">
        <f>IF(
   T_Channel[[#This Row],[Safekeeping of logs]]="",
   "",
   VLOOKUP(T_Channel[[#This Row],[Safekeeping of logs]],T_List_LogMode[],2,FALSE)
)</f>
        <v/>
      </c>
      <c r="X533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534" spans="2:24" x14ac:dyDescent="0.45">
      <c r="B534" s="7"/>
      <c r="C534" s="7"/>
      <c r="D534" s="7"/>
      <c r="E534" s="7"/>
      <c r="F534" s="6"/>
      <c r="G534" s="6"/>
      <c r="H534" s="6"/>
      <c r="I534" s="6"/>
      <c r="J534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534" s="21"/>
      <c r="L534" s="7"/>
      <c r="M534" s="41"/>
      <c r="N534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534" s="26" t="str">
        <f>IF(
   T_Channel[[#This Row],[ProviderName]]="",
   "",
   COUNTIF($N$12:$N$9982,T_Channel[[#This Row],[ProviderName]])
)</f>
        <v/>
      </c>
      <c r="P534" s="26" t="str">
        <f>IF(
   T_Channel[[#This Row],[Check]]&lt;&gt;"OK",
   "",
   IF(
      T_Channel[[#This Row],[Query]]="",
      "Empty",
      "Defined"
   )
)</f>
        <v/>
      </c>
      <c r="Q534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534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534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53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534" s="20" t="str">
        <f>IF(
   T_Channel[[#This Row],[Check]]&lt;&gt;"OK",
   "",
   T_Channel[[#This Row],[ChannelSymbol]] &amp; ".evtx"
)</f>
        <v/>
      </c>
      <c r="V534" s="20" t="str">
        <f>IF(
   T_Channel[[#This Row],[Check]]&lt;&gt;"OK",
   "",
   T_Channel[[#This Row],[LogFolder]] &amp; "\" &amp; T_Channel[[#This Row],[LogFile]]
)</f>
        <v/>
      </c>
      <c r="W534" s="20" t="str">
        <f>IF(
   T_Channel[[#This Row],[Safekeeping of logs]]="",
   "",
   VLOOKUP(T_Channel[[#This Row],[Safekeeping of logs]],T_List_LogMode[],2,FALSE)
)</f>
        <v/>
      </c>
      <c r="X534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535" spans="2:24" x14ac:dyDescent="0.45">
      <c r="B535" s="7"/>
      <c r="C535" s="7"/>
      <c r="D535" s="7"/>
      <c r="E535" s="7"/>
      <c r="F535" s="6"/>
      <c r="G535" s="6"/>
      <c r="H535" s="6"/>
      <c r="I535" s="6"/>
      <c r="J535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535" s="21"/>
      <c r="L535" s="7"/>
      <c r="M535" s="41"/>
      <c r="N535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535" s="26" t="str">
        <f>IF(
   T_Channel[[#This Row],[ProviderName]]="",
   "",
   COUNTIF($N$12:$N$9982,T_Channel[[#This Row],[ProviderName]])
)</f>
        <v/>
      </c>
      <c r="P535" s="26" t="str">
        <f>IF(
   T_Channel[[#This Row],[Check]]&lt;&gt;"OK",
   "",
   IF(
      T_Channel[[#This Row],[Query]]="",
      "Empty",
      "Defined"
   )
)</f>
        <v/>
      </c>
      <c r="Q535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535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535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53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535" s="20" t="str">
        <f>IF(
   T_Channel[[#This Row],[Check]]&lt;&gt;"OK",
   "",
   T_Channel[[#This Row],[ChannelSymbol]] &amp; ".evtx"
)</f>
        <v/>
      </c>
      <c r="V535" s="20" t="str">
        <f>IF(
   T_Channel[[#This Row],[Check]]&lt;&gt;"OK",
   "",
   T_Channel[[#This Row],[LogFolder]] &amp; "\" &amp; T_Channel[[#This Row],[LogFile]]
)</f>
        <v/>
      </c>
      <c r="W535" s="20" t="str">
        <f>IF(
   T_Channel[[#This Row],[Safekeeping of logs]]="",
   "",
   VLOOKUP(T_Channel[[#This Row],[Safekeeping of logs]],T_List_LogMode[],2,FALSE)
)</f>
        <v/>
      </c>
      <c r="X535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536" spans="2:24" x14ac:dyDescent="0.45">
      <c r="B536" s="7"/>
      <c r="C536" s="7"/>
      <c r="D536" s="7"/>
      <c r="E536" s="7"/>
      <c r="F536" s="6"/>
      <c r="G536" s="6"/>
      <c r="H536" s="6"/>
      <c r="I536" s="6"/>
      <c r="J536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536" s="21"/>
      <c r="L536" s="7"/>
      <c r="M536" s="41"/>
      <c r="N536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536" s="26" t="str">
        <f>IF(
   T_Channel[[#This Row],[ProviderName]]="",
   "",
   COUNTIF($N$12:$N$9982,T_Channel[[#This Row],[ProviderName]])
)</f>
        <v/>
      </c>
      <c r="P536" s="26" t="str">
        <f>IF(
   T_Channel[[#This Row],[Check]]&lt;&gt;"OK",
   "",
   IF(
      T_Channel[[#This Row],[Query]]="",
      "Empty",
      "Defined"
   )
)</f>
        <v/>
      </c>
      <c r="Q536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536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536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53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536" s="20" t="str">
        <f>IF(
   T_Channel[[#This Row],[Check]]&lt;&gt;"OK",
   "",
   T_Channel[[#This Row],[ChannelSymbol]] &amp; ".evtx"
)</f>
        <v/>
      </c>
      <c r="V536" s="20" t="str">
        <f>IF(
   T_Channel[[#This Row],[Check]]&lt;&gt;"OK",
   "",
   T_Channel[[#This Row],[LogFolder]] &amp; "\" &amp; T_Channel[[#This Row],[LogFile]]
)</f>
        <v/>
      </c>
      <c r="W536" s="20" t="str">
        <f>IF(
   T_Channel[[#This Row],[Safekeeping of logs]]="",
   "",
   VLOOKUP(T_Channel[[#This Row],[Safekeeping of logs]],T_List_LogMode[],2,FALSE)
)</f>
        <v/>
      </c>
      <c r="X536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537" spans="2:24" x14ac:dyDescent="0.45">
      <c r="B537" s="7"/>
      <c r="C537" s="7"/>
      <c r="D537" s="7"/>
      <c r="E537" s="7"/>
      <c r="F537" s="6"/>
      <c r="G537" s="6"/>
      <c r="H537" s="6"/>
      <c r="I537" s="6"/>
      <c r="J537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537" s="21"/>
      <c r="L537" s="7"/>
      <c r="M537" s="41"/>
      <c r="N537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537" s="26" t="str">
        <f>IF(
   T_Channel[[#This Row],[ProviderName]]="",
   "",
   COUNTIF($N$12:$N$9982,T_Channel[[#This Row],[ProviderName]])
)</f>
        <v/>
      </c>
      <c r="P537" s="26" t="str">
        <f>IF(
   T_Channel[[#This Row],[Check]]&lt;&gt;"OK",
   "",
   IF(
      T_Channel[[#This Row],[Query]]="",
      "Empty",
      "Defined"
   )
)</f>
        <v/>
      </c>
      <c r="Q537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537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537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53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537" s="20" t="str">
        <f>IF(
   T_Channel[[#This Row],[Check]]&lt;&gt;"OK",
   "",
   T_Channel[[#This Row],[ChannelSymbol]] &amp; ".evtx"
)</f>
        <v/>
      </c>
      <c r="V537" s="20" t="str">
        <f>IF(
   T_Channel[[#This Row],[Check]]&lt;&gt;"OK",
   "",
   T_Channel[[#This Row],[LogFolder]] &amp; "\" &amp; T_Channel[[#This Row],[LogFile]]
)</f>
        <v/>
      </c>
      <c r="W537" s="20" t="str">
        <f>IF(
   T_Channel[[#This Row],[Safekeeping of logs]]="",
   "",
   VLOOKUP(T_Channel[[#This Row],[Safekeeping of logs]],T_List_LogMode[],2,FALSE)
)</f>
        <v/>
      </c>
      <c r="X537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538" spans="2:24" x14ac:dyDescent="0.45">
      <c r="B538" s="7"/>
      <c r="C538" s="7"/>
      <c r="D538" s="7"/>
      <c r="E538" s="7"/>
      <c r="F538" s="6"/>
      <c r="G538" s="6"/>
      <c r="H538" s="6"/>
      <c r="I538" s="6"/>
      <c r="J538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538" s="21"/>
      <c r="L538" s="7"/>
      <c r="M538" s="41"/>
      <c r="N538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538" s="26" t="str">
        <f>IF(
   T_Channel[[#This Row],[ProviderName]]="",
   "",
   COUNTIF($N$12:$N$9982,T_Channel[[#This Row],[ProviderName]])
)</f>
        <v/>
      </c>
      <c r="P538" s="26" t="str">
        <f>IF(
   T_Channel[[#This Row],[Check]]&lt;&gt;"OK",
   "",
   IF(
      T_Channel[[#This Row],[Query]]="",
      "Empty",
      "Defined"
   )
)</f>
        <v/>
      </c>
      <c r="Q538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538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538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53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538" s="20" t="str">
        <f>IF(
   T_Channel[[#This Row],[Check]]&lt;&gt;"OK",
   "",
   T_Channel[[#This Row],[ChannelSymbol]] &amp; ".evtx"
)</f>
        <v/>
      </c>
      <c r="V538" s="20" t="str">
        <f>IF(
   T_Channel[[#This Row],[Check]]&lt;&gt;"OK",
   "",
   T_Channel[[#This Row],[LogFolder]] &amp; "\" &amp; T_Channel[[#This Row],[LogFile]]
)</f>
        <v/>
      </c>
      <c r="W538" s="20" t="str">
        <f>IF(
   T_Channel[[#This Row],[Safekeeping of logs]]="",
   "",
   VLOOKUP(T_Channel[[#This Row],[Safekeeping of logs]],T_List_LogMode[],2,FALSE)
)</f>
        <v/>
      </c>
      <c r="X538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539" spans="2:24" x14ac:dyDescent="0.45">
      <c r="B539" s="7"/>
      <c r="C539" s="7"/>
      <c r="D539" s="7"/>
      <c r="E539" s="7"/>
      <c r="F539" s="6"/>
      <c r="G539" s="6"/>
      <c r="H539" s="6"/>
      <c r="I539" s="6"/>
      <c r="J539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539" s="21"/>
      <c r="L539" s="7"/>
      <c r="M539" s="41"/>
      <c r="N539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539" s="26" t="str">
        <f>IF(
   T_Channel[[#This Row],[ProviderName]]="",
   "",
   COUNTIF($N$12:$N$9982,T_Channel[[#This Row],[ProviderName]])
)</f>
        <v/>
      </c>
      <c r="P539" s="26" t="str">
        <f>IF(
   T_Channel[[#This Row],[Check]]&lt;&gt;"OK",
   "",
   IF(
      T_Channel[[#This Row],[Query]]="",
      "Empty",
      "Defined"
   )
)</f>
        <v/>
      </c>
      <c r="Q539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539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539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53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539" s="20" t="str">
        <f>IF(
   T_Channel[[#This Row],[Check]]&lt;&gt;"OK",
   "",
   T_Channel[[#This Row],[ChannelSymbol]] &amp; ".evtx"
)</f>
        <v/>
      </c>
      <c r="V539" s="20" t="str">
        <f>IF(
   T_Channel[[#This Row],[Check]]&lt;&gt;"OK",
   "",
   T_Channel[[#This Row],[LogFolder]] &amp; "\" &amp; T_Channel[[#This Row],[LogFile]]
)</f>
        <v/>
      </c>
      <c r="W539" s="20" t="str">
        <f>IF(
   T_Channel[[#This Row],[Safekeeping of logs]]="",
   "",
   VLOOKUP(T_Channel[[#This Row],[Safekeeping of logs]],T_List_LogMode[],2,FALSE)
)</f>
        <v/>
      </c>
      <c r="X539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540" spans="2:24" x14ac:dyDescent="0.45">
      <c r="B540" s="7"/>
      <c r="C540" s="7"/>
      <c r="D540" s="7"/>
      <c r="E540" s="7"/>
      <c r="F540" s="6"/>
      <c r="G540" s="6"/>
      <c r="H540" s="6"/>
      <c r="I540" s="6"/>
      <c r="J540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540" s="21"/>
      <c r="L540" s="7"/>
      <c r="M540" s="41"/>
      <c r="N540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540" s="26" t="str">
        <f>IF(
   T_Channel[[#This Row],[ProviderName]]="",
   "",
   COUNTIF($N$12:$N$9982,T_Channel[[#This Row],[ProviderName]])
)</f>
        <v/>
      </c>
      <c r="P540" s="26" t="str">
        <f>IF(
   T_Channel[[#This Row],[Check]]&lt;&gt;"OK",
   "",
   IF(
      T_Channel[[#This Row],[Query]]="",
      "Empty",
      "Defined"
   )
)</f>
        <v/>
      </c>
      <c r="Q540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540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540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54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540" s="20" t="str">
        <f>IF(
   T_Channel[[#This Row],[Check]]&lt;&gt;"OK",
   "",
   T_Channel[[#This Row],[ChannelSymbol]] &amp; ".evtx"
)</f>
        <v/>
      </c>
      <c r="V540" s="20" t="str">
        <f>IF(
   T_Channel[[#This Row],[Check]]&lt;&gt;"OK",
   "",
   T_Channel[[#This Row],[LogFolder]] &amp; "\" &amp; T_Channel[[#This Row],[LogFile]]
)</f>
        <v/>
      </c>
      <c r="W540" s="20" t="str">
        <f>IF(
   T_Channel[[#This Row],[Safekeeping of logs]]="",
   "",
   VLOOKUP(T_Channel[[#This Row],[Safekeeping of logs]],T_List_LogMode[],2,FALSE)
)</f>
        <v/>
      </c>
      <c r="X540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541" spans="2:24" x14ac:dyDescent="0.45">
      <c r="B541" s="7"/>
      <c r="C541" s="7"/>
      <c r="D541" s="7"/>
      <c r="E541" s="7"/>
      <c r="F541" s="6"/>
      <c r="G541" s="6"/>
      <c r="H541" s="6"/>
      <c r="I541" s="6"/>
      <c r="J541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541" s="21"/>
      <c r="L541" s="7"/>
      <c r="M541" s="41"/>
      <c r="N541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541" s="26" t="str">
        <f>IF(
   T_Channel[[#This Row],[ProviderName]]="",
   "",
   COUNTIF($N$12:$N$9982,T_Channel[[#This Row],[ProviderName]])
)</f>
        <v/>
      </c>
      <c r="P541" s="26" t="str">
        <f>IF(
   T_Channel[[#This Row],[Check]]&lt;&gt;"OK",
   "",
   IF(
      T_Channel[[#This Row],[Query]]="",
      "Empty",
      "Defined"
   )
)</f>
        <v/>
      </c>
      <c r="Q541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541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541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54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541" s="20" t="str">
        <f>IF(
   T_Channel[[#This Row],[Check]]&lt;&gt;"OK",
   "",
   T_Channel[[#This Row],[ChannelSymbol]] &amp; ".evtx"
)</f>
        <v/>
      </c>
      <c r="V541" s="20" t="str">
        <f>IF(
   T_Channel[[#This Row],[Check]]&lt;&gt;"OK",
   "",
   T_Channel[[#This Row],[LogFolder]] &amp; "\" &amp; T_Channel[[#This Row],[LogFile]]
)</f>
        <v/>
      </c>
      <c r="W541" s="20" t="str">
        <f>IF(
   T_Channel[[#This Row],[Safekeeping of logs]]="",
   "",
   VLOOKUP(T_Channel[[#This Row],[Safekeeping of logs]],T_List_LogMode[],2,FALSE)
)</f>
        <v/>
      </c>
      <c r="X541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542" spans="2:24" x14ac:dyDescent="0.45">
      <c r="B542" s="7"/>
      <c r="C542" s="7"/>
      <c r="D542" s="7"/>
      <c r="E542" s="7"/>
      <c r="F542" s="6"/>
      <c r="G542" s="6"/>
      <c r="H542" s="6"/>
      <c r="I542" s="6"/>
      <c r="J542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542" s="21"/>
      <c r="L542" s="7"/>
      <c r="M542" s="41"/>
      <c r="N542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542" s="26" t="str">
        <f>IF(
   T_Channel[[#This Row],[ProviderName]]="",
   "",
   COUNTIF($N$12:$N$9982,T_Channel[[#This Row],[ProviderName]])
)</f>
        <v/>
      </c>
      <c r="P542" s="26" t="str">
        <f>IF(
   T_Channel[[#This Row],[Check]]&lt;&gt;"OK",
   "",
   IF(
      T_Channel[[#This Row],[Query]]="",
      "Empty",
      "Defined"
   )
)</f>
        <v/>
      </c>
      <c r="Q542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542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542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54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542" s="20" t="str">
        <f>IF(
   T_Channel[[#This Row],[Check]]&lt;&gt;"OK",
   "",
   T_Channel[[#This Row],[ChannelSymbol]] &amp; ".evtx"
)</f>
        <v/>
      </c>
      <c r="V542" s="20" t="str">
        <f>IF(
   T_Channel[[#This Row],[Check]]&lt;&gt;"OK",
   "",
   T_Channel[[#This Row],[LogFolder]] &amp; "\" &amp; T_Channel[[#This Row],[LogFile]]
)</f>
        <v/>
      </c>
      <c r="W542" s="20" t="str">
        <f>IF(
   T_Channel[[#This Row],[Safekeeping of logs]]="",
   "",
   VLOOKUP(T_Channel[[#This Row],[Safekeeping of logs]],T_List_LogMode[],2,FALSE)
)</f>
        <v/>
      </c>
      <c r="X542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543" spans="2:24" x14ac:dyDescent="0.45">
      <c r="B543" s="7"/>
      <c r="C543" s="7"/>
      <c r="D543" s="7"/>
      <c r="E543" s="7"/>
      <c r="F543" s="6"/>
      <c r="G543" s="6"/>
      <c r="H543" s="6"/>
      <c r="I543" s="6"/>
      <c r="J543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543" s="21"/>
      <c r="L543" s="7"/>
      <c r="M543" s="41"/>
      <c r="N543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543" s="26" t="str">
        <f>IF(
   T_Channel[[#This Row],[ProviderName]]="",
   "",
   COUNTIF($N$12:$N$9982,T_Channel[[#This Row],[ProviderName]])
)</f>
        <v/>
      </c>
      <c r="P543" s="26" t="str">
        <f>IF(
   T_Channel[[#This Row],[Check]]&lt;&gt;"OK",
   "",
   IF(
      T_Channel[[#This Row],[Query]]="",
      "Empty",
      "Defined"
   )
)</f>
        <v/>
      </c>
      <c r="Q543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543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543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54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543" s="20" t="str">
        <f>IF(
   T_Channel[[#This Row],[Check]]&lt;&gt;"OK",
   "",
   T_Channel[[#This Row],[ChannelSymbol]] &amp; ".evtx"
)</f>
        <v/>
      </c>
      <c r="V543" s="20" t="str">
        <f>IF(
   T_Channel[[#This Row],[Check]]&lt;&gt;"OK",
   "",
   T_Channel[[#This Row],[LogFolder]] &amp; "\" &amp; T_Channel[[#This Row],[LogFile]]
)</f>
        <v/>
      </c>
      <c r="W543" s="20" t="str">
        <f>IF(
   T_Channel[[#This Row],[Safekeeping of logs]]="",
   "",
   VLOOKUP(T_Channel[[#This Row],[Safekeeping of logs]],T_List_LogMode[],2,FALSE)
)</f>
        <v/>
      </c>
      <c r="X543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544" spans="2:24" x14ac:dyDescent="0.45">
      <c r="B544" s="7"/>
      <c r="C544" s="7"/>
      <c r="D544" s="7"/>
      <c r="E544" s="7"/>
      <c r="F544" s="6"/>
      <c r="G544" s="6"/>
      <c r="H544" s="6"/>
      <c r="I544" s="6"/>
      <c r="J544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544" s="21"/>
      <c r="L544" s="7"/>
      <c r="M544" s="41"/>
      <c r="N544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544" s="26" t="str">
        <f>IF(
   T_Channel[[#This Row],[ProviderName]]="",
   "",
   COUNTIF($N$12:$N$9982,T_Channel[[#This Row],[ProviderName]])
)</f>
        <v/>
      </c>
      <c r="P544" s="26" t="str">
        <f>IF(
   T_Channel[[#This Row],[Check]]&lt;&gt;"OK",
   "",
   IF(
      T_Channel[[#This Row],[Query]]="",
      "Empty",
      "Defined"
   )
)</f>
        <v/>
      </c>
      <c r="Q544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544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544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54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544" s="20" t="str">
        <f>IF(
   T_Channel[[#This Row],[Check]]&lt;&gt;"OK",
   "",
   T_Channel[[#This Row],[ChannelSymbol]] &amp; ".evtx"
)</f>
        <v/>
      </c>
      <c r="V544" s="20" t="str">
        <f>IF(
   T_Channel[[#This Row],[Check]]&lt;&gt;"OK",
   "",
   T_Channel[[#This Row],[LogFolder]] &amp; "\" &amp; T_Channel[[#This Row],[LogFile]]
)</f>
        <v/>
      </c>
      <c r="W544" s="20" t="str">
        <f>IF(
   T_Channel[[#This Row],[Safekeeping of logs]]="",
   "",
   VLOOKUP(T_Channel[[#This Row],[Safekeeping of logs]],T_List_LogMode[],2,FALSE)
)</f>
        <v/>
      </c>
      <c r="X544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545" spans="2:24" x14ac:dyDescent="0.45">
      <c r="B545" s="7"/>
      <c r="C545" s="7"/>
      <c r="D545" s="7"/>
      <c r="E545" s="7"/>
      <c r="F545" s="6"/>
      <c r="G545" s="6"/>
      <c r="H545" s="6"/>
      <c r="I545" s="6"/>
      <c r="J545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545" s="21"/>
      <c r="L545" s="7"/>
      <c r="M545" s="41"/>
      <c r="N545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545" s="26" t="str">
        <f>IF(
   T_Channel[[#This Row],[ProviderName]]="",
   "",
   COUNTIF($N$12:$N$9982,T_Channel[[#This Row],[ProviderName]])
)</f>
        <v/>
      </c>
      <c r="P545" s="26" t="str">
        <f>IF(
   T_Channel[[#This Row],[Check]]&lt;&gt;"OK",
   "",
   IF(
      T_Channel[[#This Row],[Query]]="",
      "Empty",
      "Defined"
   )
)</f>
        <v/>
      </c>
      <c r="Q545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545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545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54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545" s="20" t="str">
        <f>IF(
   T_Channel[[#This Row],[Check]]&lt;&gt;"OK",
   "",
   T_Channel[[#This Row],[ChannelSymbol]] &amp; ".evtx"
)</f>
        <v/>
      </c>
      <c r="V545" s="20" t="str">
        <f>IF(
   T_Channel[[#This Row],[Check]]&lt;&gt;"OK",
   "",
   T_Channel[[#This Row],[LogFolder]] &amp; "\" &amp; T_Channel[[#This Row],[LogFile]]
)</f>
        <v/>
      </c>
      <c r="W545" s="20" t="str">
        <f>IF(
   T_Channel[[#This Row],[Safekeeping of logs]]="",
   "",
   VLOOKUP(T_Channel[[#This Row],[Safekeeping of logs]],T_List_LogMode[],2,FALSE)
)</f>
        <v/>
      </c>
      <c r="X545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546" spans="2:24" x14ac:dyDescent="0.45">
      <c r="B546" s="7"/>
      <c r="C546" s="7"/>
      <c r="D546" s="7"/>
      <c r="E546" s="7"/>
      <c r="F546" s="6"/>
      <c r="G546" s="6"/>
      <c r="H546" s="6"/>
      <c r="I546" s="6"/>
      <c r="J546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546" s="21"/>
      <c r="L546" s="7"/>
      <c r="M546" s="41"/>
      <c r="N546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546" s="26" t="str">
        <f>IF(
   T_Channel[[#This Row],[ProviderName]]="",
   "",
   COUNTIF($N$12:$N$9982,T_Channel[[#This Row],[ProviderName]])
)</f>
        <v/>
      </c>
      <c r="P546" s="26" t="str">
        <f>IF(
   T_Channel[[#This Row],[Check]]&lt;&gt;"OK",
   "",
   IF(
      T_Channel[[#This Row],[Query]]="",
      "Empty",
      "Defined"
   )
)</f>
        <v/>
      </c>
      <c r="Q546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546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546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54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546" s="20" t="str">
        <f>IF(
   T_Channel[[#This Row],[Check]]&lt;&gt;"OK",
   "",
   T_Channel[[#This Row],[ChannelSymbol]] &amp; ".evtx"
)</f>
        <v/>
      </c>
      <c r="V546" s="20" t="str">
        <f>IF(
   T_Channel[[#This Row],[Check]]&lt;&gt;"OK",
   "",
   T_Channel[[#This Row],[LogFolder]] &amp; "\" &amp; T_Channel[[#This Row],[LogFile]]
)</f>
        <v/>
      </c>
      <c r="W546" s="20" t="str">
        <f>IF(
   T_Channel[[#This Row],[Safekeeping of logs]]="",
   "",
   VLOOKUP(T_Channel[[#This Row],[Safekeeping of logs]],T_List_LogMode[],2,FALSE)
)</f>
        <v/>
      </c>
      <c r="X546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547" spans="2:24" x14ac:dyDescent="0.45">
      <c r="B547" s="7"/>
      <c r="C547" s="7"/>
      <c r="D547" s="7"/>
      <c r="E547" s="7"/>
      <c r="F547" s="6"/>
      <c r="G547" s="6"/>
      <c r="H547" s="6"/>
      <c r="I547" s="6"/>
      <c r="J547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547" s="21"/>
      <c r="L547" s="7"/>
      <c r="M547" s="41"/>
      <c r="N547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547" s="26" t="str">
        <f>IF(
   T_Channel[[#This Row],[ProviderName]]="",
   "",
   COUNTIF($N$12:$N$9982,T_Channel[[#This Row],[ProviderName]])
)</f>
        <v/>
      </c>
      <c r="P547" s="26" t="str">
        <f>IF(
   T_Channel[[#This Row],[Check]]&lt;&gt;"OK",
   "",
   IF(
      T_Channel[[#This Row],[Query]]="",
      "Empty",
      "Defined"
   )
)</f>
        <v/>
      </c>
      <c r="Q547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547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547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54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547" s="20" t="str">
        <f>IF(
   T_Channel[[#This Row],[Check]]&lt;&gt;"OK",
   "",
   T_Channel[[#This Row],[ChannelSymbol]] &amp; ".evtx"
)</f>
        <v/>
      </c>
      <c r="V547" s="20" t="str">
        <f>IF(
   T_Channel[[#This Row],[Check]]&lt;&gt;"OK",
   "",
   T_Channel[[#This Row],[LogFolder]] &amp; "\" &amp; T_Channel[[#This Row],[LogFile]]
)</f>
        <v/>
      </c>
      <c r="W547" s="20" t="str">
        <f>IF(
   T_Channel[[#This Row],[Safekeeping of logs]]="",
   "",
   VLOOKUP(T_Channel[[#This Row],[Safekeeping of logs]],T_List_LogMode[],2,FALSE)
)</f>
        <v/>
      </c>
      <c r="X547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548" spans="2:24" x14ac:dyDescent="0.45">
      <c r="B548" s="7"/>
      <c r="C548" s="7"/>
      <c r="D548" s="7"/>
      <c r="E548" s="7"/>
      <c r="F548" s="6"/>
      <c r="G548" s="6"/>
      <c r="H548" s="6"/>
      <c r="I548" s="6"/>
      <c r="J548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548" s="21"/>
      <c r="L548" s="7"/>
      <c r="M548" s="41"/>
      <c r="N548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548" s="26" t="str">
        <f>IF(
   T_Channel[[#This Row],[ProviderName]]="",
   "",
   COUNTIF($N$12:$N$9982,T_Channel[[#This Row],[ProviderName]])
)</f>
        <v/>
      </c>
      <c r="P548" s="26" t="str">
        <f>IF(
   T_Channel[[#This Row],[Check]]&lt;&gt;"OK",
   "",
   IF(
      T_Channel[[#This Row],[Query]]="",
      "Empty",
      "Defined"
   )
)</f>
        <v/>
      </c>
      <c r="Q548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548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548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54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548" s="20" t="str">
        <f>IF(
   T_Channel[[#This Row],[Check]]&lt;&gt;"OK",
   "",
   T_Channel[[#This Row],[ChannelSymbol]] &amp; ".evtx"
)</f>
        <v/>
      </c>
      <c r="V548" s="20" t="str">
        <f>IF(
   T_Channel[[#This Row],[Check]]&lt;&gt;"OK",
   "",
   T_Channel[[#This Row],[LogFolder]] &amp; "\" &amp; T_Channel[[#This Row],[LogFile]]
)</f>
        <v/>
      </c>
      <c r="W548" s="20" t="str">
        <f>IF(
   T_Channel[[#This Row],[Safekeeping of logs]]="",
   "",
   VLOOKUP(T_Channel[[#This Row],[Safekeeping of logs]],T_List_LogMode[],2,FALSE)
)</f>
        <v/>
      </c>
      <c r="X548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549" spans="2:24" x14ac:dyDescent="0.45">
      <c r="B549" s="7"/>
      <c r="C549" s="7"/>
      <c r="D549" s="7"/>
      <c r="E549" s="7"/>
      <c r="F549" s="6"/>
      <c r="G549" s="6"/>
      <c r="H549" s="6"/>
      <c r="I549" s="6"/>
      <c r="J549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549" s="21"/>
      <c r="L549" s="7"/>
      <c r="M549" s="41"/>
      <c r="N549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549" s="26" t="str">
        <f>IF(
   T_Channel[[#This Row],[ProviderName]]="",
   "",
   COUNTIF($N$12:$N$9982,T_Channel[[#This Row],[ProviderName]])
)</f>
        <v/>
      </c>
      <c r="P549" s="26" t="str">
        <f>IF(
   T_Channel[[#This Row],[Check]]&lt;&gt;"OK",
   "",
   IF(
      T_Channel[[#This Row],[Query]]="",
      "Empty",
      "Defined"
   )
)</f>
        <v/>
      </c>
      <c r="Q549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549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549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54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549" s="20" t="str">
        <f>IF(
   T_Channel[[#This Row],[Check]]&lt;&gt;"OK",
   "",
   T_Channel[[#This Row],[ChannelSymbol]] &amp; ".evtx"
)</f>
        <v/>
      </c>
      <c r="V549" s="20" t="str">
        <f>IF(
   T_Channel[[#This Row],[Check]]&lt;&gt;"OK",
   "",
   T_Channel[[#This Row],[LogFolder]] &amp; "\" &amp; T_Channel[[#This Row],[LogFile]]
)</f>
        <v/>
      </c>
      <c r="W549" s="20" t="str">
        <f>IF(
   T_Channel[[#This Row],[Safekeeping of logs]]="",
   "",
   VLOOKUP(T_Channel[[#This Row],[Safekeeping of logs]],T_List_LogMode[],2,FALSE)
)</f>
        <v/>
      </c>
      <c r="X549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550" spans="2:24" x14ac:dyDescent="0.45">
      <c r="B550" s="7"/>
      <c r="C550" s="7"/>
      <c r="D550" s="7"/>
      <c r="E550" s="7"/>
      <c r="F550" s="6"/>
      <c r="G550" s="6"/>
      <c r="H550" s="6"/>
      <c r="I550" s="6"/>
      <c r="J550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550" s="21"/>
      <c r="L550" s="7"/>
      <c r="M550" s="41"/>
      <c r="N550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550" s="26" t="str">
        <f>IF(
   T_Channel[[#This Row],[ProviderName]]="",
   "",
   COUNTIF($N$12:$N$9982,T_Channel[[#This Row],[ProviderName]])
)</f>
        <v/>
      </c>
      <c r="P550" s="26" t="str">
        <f>IF(
   T_Channel[[#This Row],[Check]]&lt;&gt;"OK",
   "",
   IF(
      T_Channel[[#This Row],[Query]]="",
      "Empty",
      "Defined"
   )
)</f>
        <v/>
      </c>
      <c r="Q550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550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550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55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550" s="20" t="str">
        <f>IF(
   T_Channel[[#This Row],[Check]]&lt;&gt;"OK",
   "",
   T_Channel[[#This Row],[ChannelSymbol]] &amp; ".evtx"
)</f>
        <v/>
      </c>
      <c r="V550" s="20" t="str">
        <f>IF(
   T_Channel[[#This Row],[Check]]&lt;&gt;"OK",
   "",
   T_Channel[[#This Row],[LogFolder]] &amp; "\" &amp; T_Channel[[#This Row],[LogFile]]
)</f>
        <v/>
      </c>
      <c r="W550" s="20" t="str">
        <f>IF(
   T_Channel[[#This Row],[Safekeeping of logs]]="",
   "",
   VLOOKUP(T_Channel[[#This Row],[Safekeeping of logs]],T_List_LogMode[],2,FALSE)
)</f>
        <v/>
      </c>
      <c r="X550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551" spans="2:24" x14ac:dyDescent="0.45">
      <c r="B551" s="7"/>
      <c r="C551" s="7"/>
      <c r="D551" s="7"/>
      <c r="E551" s="7"/>
      <c r="F551" s="6"/>
      <c r="G551" s="6"/>
      <c r="H551" s="6"/>
      <c r="I551" s="6"/>
      <c r="J551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551" s="21"/>
      <c r="L551" s="7"/>
      <c r="M551" s="41"/>
      <c r="N551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551" s="26" t="str">
        <f>IF(
   T_Channel[[#This Row],[ProviderName]]="",
   "",
   COUNTIF($N$12:$N$9982,T_Channel[[#This Row],[ProviderName]])
)</f>
        <v/>
      </c>
      <c r="P551" s="26" t="str">
        <f>IF(
   T_Channel[[#This Row],[Check]]&lt;&gt;"OK",
   "",
   IF(
      T_Channel[[#This Row],[Query]]="",
      "Empty",
      "Defined"
   )
)</f>
        <v/>
      </c>
      <c r="Q551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551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551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55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551" s="20" t="str">
        <f>IF(
   T_Channel[[#This Row],[Check]]&lt;&gt;"OK",
   "",
   T_Channel[[#This Row],[ChannelSymbol]] &amp; ".evtx"
)</f>
        <v/>
      </c>
      <c r="V551" s="20" t="str">
        <f>IF(
   T_Channel[[#This Row],[Check]]&lt;&gt;"OK",
   "",
   T_Channel[[#This Row],[LogFolder]] &amp; "\" &amp; T_Channel[[#This Row],[LogFile]]
)</f>
        <v/>
      </c>
      <c r="W551" s="20" t="str">
        <f>IF(
   T_Channel[[#This Row],[Safekeeping of logs]]="",
   "",
   VLOOKUP(T_Channel[[#This Row],[Safekeeping of logs]],T_List_LogMode[],2,FALSE)
)</f>
        <v/>
      </c>
      <c r="X551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552" spans="2:24" x14ac:dyDescent="0.45">
      <c r="B552" s="7"/>
      <c r="C552" s="7"/>
      <c r="D552" s="7"/>
      <c r="E552" s="7"/>
      <c r="F552" s="6"/>
      <c r="G552" s="6"/>
      <c r="H552" s="6"/>
      <c r="I552" s="6"/>
      <c r="J552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552" s="21"/>
      <c r="L552" s="7"/>
      <c r="M552" s="41"/>
      <c r="N552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552" s="26" t="str">
        <f>IF(
   T_Channel[[#This Row],[ProviderName]]="",
   "",
   COUNTIF($N$12:$N$9982,T_Channel[[#This Row],[ProviderName]])
)</f>
        <v/>
      </c>
      <c r="P552" s="26" t="str">
        <f>IF(
   T_Channel[[#This Row],[Check]]&lt;&gt;"OK",
   "",
   IF(
      T_Channel[[#This Row],[Query]]="",
      "Empty",
      "Defined"
   )
)</f>
        <v/>
      </c>
      <c r="Q552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552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552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55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552" s="20" t="str">
        <f>IF(
   T_Channel[[#This Row],[Check]]&lt;&gt;"OK",
   "",
   T_Channel[[#This Row],[ChannelSymbol]] &amp; ".evtx"
)</f>
        <v/>
      </c>
      <c r="V552" s="20" t="str">
        <f>IF(
   T_Channel[[#This Row],[Check]]&lt;&gt;"OK",
   "",
   T_Channel[[#This Row],[LogFolder]] &amp; "\" &amp; T_Channel[[#This Row],[LogFile]]
)</f>
        <v/>
      </c>
      <c r="W552" s="20" t="str">
        <f>IF(
   T_Channel[[#This Row],[Safekeeping of logs]]="",
   "",
   VLOOKUP(T_Channel[[#This Row],[Safekeeping of logs]],T_List_LogMode[],2,FALSE)
)</f>
        <v/>
      </c>
      <c r="X552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553" spans="2:24" x14ac:dyDescent="0.45">
      <c r="B553" s="7"/>
      <c r="C553" s="7"/>
      <c r="D553" s="7"/>
      <c r="E553" s="7"/>
      <c r="F553" s="6"/>
      <c r="G553" s="6"/>
      <c r="H553" s="6"/>
      <c r="I553" s="6"/>
      <c r="J553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553" s="21"/>
      <c r="L553" s="7"/>
      <c r="M553" s="41"/>
      <c r="N553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553" s="26" t="str">
        <f>IF(
   T_Channel[[#This Row],[ProviderName]]="",
   "",
   COUNTIF($N$12:$N$9982,T_Channel[[#This Row],[ProviderName]])
)</f>
        <v/>
      </c>
      <c r="P553" s="26" t="str">
        <f>IF(
   T_Channel[[#This Row],[Check]]&lt;&gt;"OK",
   "",
   IF(
      T_Channel[[#This Row],[Query]]="",
      "Empty",
      "Defined"
   )
)</f>
        <v/>
      </c>
      <c r="Q553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553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553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55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553" s="20" t="str">
        <f>IF(
   T_Channel[[#This Row],[Check]]&lt;&gt;"OK",
   "",
   T_Channel[[#This Row],[ChannelSymbol]] &amp; ".evtx"
)</f>
        <v/>
      </c>
      <c r="V553" s="20" t="str">
        <f>IF(
   T_Channel[[#This Row],[Check]]&lt;&gt;"OK",
   "",
   T_Channel[[#This Row],[LogFolder]] &amp; "\" &amp; T_Channel[[#This Row],[LogFile]]
)</f>
        <v/>
      </c>
      <c r="W553" s="20" t="str">
        <f>IF(
   T_Channel[[#This Row],[Safekeeping of logs]]="",
   "",
   VLOOKUP(T_Channel[[#This Row],[Safekeeping of logs]],T_List_LogMode[],2,FALSE)
)</f>
        <v/>
      </c>
      <c r="X553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554" spans="2:24" x14ac:dyDescent="0.45">
      <c r="B554" s="7"/>
      <c r="C554" s="7"/>
      <c r="D554" s="7"/>
      <c r="E554" s="7"/>
      <c r="F554" s="6"/>
      <c r="G554" s="6"/>
      <c r="H554" s="6"/>
      <c r="I554" s="6"/>
      <c r="J554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554" s="21"/>
      <c r="L554" s="7"/>
      <c r="M554" s="41"/>
      <c r="N554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554" s="26" t="str">
        <f>IF(
   T_Channel[[#This Row],[ProviderName]]="",
   "",
   COUNTIF($N$12:$N$9982,T_Channel[[#This Row],[ProviderName]])
)</f>
        <v/>
      </c>
      <c r="P554" s="26" t="str">
        <f>IF(
   T_Channel[[#This Row],[Check]]&lt;&gt;"OK",
   "",
   IF(
      T_Channel[[#This Row],[Query]]="",
      "Empty",
      "Defined"
   )
)</f>
        <v/>
      </c>
      <c r="Q554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554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554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55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554" s="20" t="str">
        <f>IF(
   T_Channel[[#This Row],[Check]]&lt;&gt;"OK",
   "",
   T_Channel[[#This Row],[ChannelSymbol]] &amp; ".evtx"
)</f>
        <v/>
      </c>
      <c r="V554" s="20" t="str">
        <f>IF(
   T_Channel[[#This Row],[Check]]&lt;&gt;"OK",
   "",
   T_Channel[[#This Row],[LogFolder]] &amp; "\" &amp; T_Channel[[#This Row],[LogFile]]
)</f>
        <v/>
      </c>
      <c r="W554" s="20" t="str">
        <f>IF(
   T_Channel[[#This Row],[Safekeeping of logs]]="",
   "",
   VLOOKUP(T_Channel[[#This Row],[Safekeeping of logs]],T_List_LogMode[],2,FALSE)
)</f>
        <v/>
      </c>
      <c r="X554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555" spans="2:24" x14ac:dyDescent="0.45">
      <c r="B555" s="7"/>
      <c r="C555" s="7"/>
      <c r="D555" s="7"/>
      <c r="E555" s="7"/>
      <c r="F555" s="6"/>
      <c r="G555" s="6"/>
      <c r="H555" s="6"/>
      <c r="I555" s="6"/>
      <c r="J555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555" s="21"/>
      <c r="L555" s="7"/>
      <c r="M555" s="41"/>
      <c r="N555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555" s="26" t="str">
        <f>IF(
   T_Channel[[#This Row],[ProviderName]]="",
   "",
   COUNTIF($N$12:$N$9982,T_Channel[[#This Row],[ProviderName]])
)</f>
        <v/>
      </c>
      <c r="P555" s="26" t="str">
        <f>IF(
   T_Channel[[#This Row],[Check]]&lt;&gt;"OK",
   "",
   IF(
      T_Channel[[#This Row],[Query]]="",
      "Empty",
      "Defined"
   )
)</f>
        <v/>
      </c>
      <c r="Q555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555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555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55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555" s="20" t="str">
        <f>IF(
   T_Channel[[#This Row],[Check]]&lt;&gt;"OK",
   "",
   T_Channel[[#This Row],[ChannelSymbol]] &amp; ".evtx"
)</f>
        <v/>
      </c>
      <c r="V555" s="20" t="str">
        <f>IF(
   T_Channel[[#This Row],[Check]]&lt;&gt;"OK",
   "",
   T_Channel[[#This Row],[LogFolder]] &amp; "\" &amp; T_Channel[[#This Row],[LogFile]]
)</f>
        <v/>
      </c>
      <c r="W555" s="20" t="str">
        <f>IF(
   T_Channel[[#This Row],[Safekeeping of logs]]="",
   "",
   VLOOKUP(T_Channel[[#This Row],[Safekeeping of logs]],T_List_LogMode[],2,FALSE)
)</f>
        <v/>
      </c>
      <c r="X555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556" spans="2:24" x14ac:dyDescent="0.45">
      <c r="B556" s="7"/>
      <c r="C556" s="7"/>
      <c r="D556" s="7"/>
      <c r="E556" s="7"/>
      <c r="F556" s="6"/>
      <c r="G556" s="6"/>
      <c r="H556" s="6"/>
      <c r="I556" s="6"/>
      <c r="J556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556" s="21"/>
      <c r="L556" s="7"/>
      <c r="M556" s="41"/>
      <c r="N556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556" s="26" t="str">
        <f>IF(
   T_Channel[[#This Row],[ProviderName]]="",
   "",
   COUNTIF($N$12:$N$9982,T_Channel[[#This Row],[ProviderName]])
)</f>
        <v/>
      </c>
      <c r="P556" s="26" t="str">
        <f>IF(
   T_Channel[[#This Row],[Check]]&lt;&gt;"OK",
   "",
   IF(
      T_Channel[[#This Row],[Query]]="",
      "Empty",
      "Defined"
   )
)</f>
        <v/>
      </c>
      <c r="Q556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556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556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55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556" s="20" t="str">
        <f>IF(
   T_Channel[[#This Row],[Check]]&lt;&gt;"OK",
   "",
   T_Channel[[#This Row],[ChannelSymbol]] &amp; ".evtx"
)</f>
        <v/>
      </c>
      <c r="V556" s="20" t="str">
        <f>IF(
   T_Channel[[#This Row],[Check]]&lt;&gt;"OK",
   "",
   T_Channel[[#This Row],[LogFolder]] &amp; "\" &amp; T_Channel[[#This Row],[LogFile]]
)</f>
        <v/>
      </c>
      <c r="W556" s="20" t="str">
        <f>IF(
   T_Channel[[#This Row],[Safekeeping of logs]]="",
   "",
   VLOOKUP(T_Channel[[#This Row],[Safekeeping of logs]],T_List_LogMode[],2,FALSE)
)</f>
        <v/>
      </c>
      <c r="X556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557" spans="2:24" x14ac:dyDescent="0.45">
      <c r="B557" s="7"/>
      <c r="C557" s="7"/>
      <c r="D557" s="7"/>
      <c r="E557" s="7"/>
      <c r="F557" s="6"/>
      <c r="G557" s="6"/>
      <c r="H557" s="6"/>
      <c r="I557" s="6"/>
      <c r="J557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557" s="21"/>
      <c r="L557" s="7"/>
      <c r="M557" s="41"/>
      <c r="N557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557" s="26" t="str">
        <f>IF(
   T_Channel[[#This Row],[ProviderName]]="",
   "",
   COUNTIF($N$12:$N$9982,T_Channel[[#This Row],[ProviderName]])
)</f>
        <v/>
      </c>
      <c r="P557" s="26" t="str">
        <f>IF(
   T_Channel[[#This Row],[Check]]&lt;&gt;"OK",
   "",
   IF(
      T_Channel[[#This Row],[Query]]="",
      "Empty",
      "Defined"
   )
)</f>
        <v/>
      </c>
      <c r="Q557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557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557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55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557" s="20" t="str">
        <f>IF(
   T_Channel[[#This Row],[Check]]&lt;&gt;"OK",
   "",
   T_Channel[[#This Row],[ChannelSymbol]] &amp; ".evtx"
)</f>
        <v/>
      </c>
      <c r="V557" s="20" t="str">
        <f>IF(
   T_Channel[[#This Row],[Check]]&lt;&gt;"OK",
   "",
   T_Channel[[#This Row],[LogFolder]] &amp; "\" &amp; T_Channel[[#This Row],[LogFile]]
)</f>
        <v/>
      </c>
      <c r="W557" s="20" t="str">
        <f>IF(
   T_Channel[[#This Row],[Safekeeping of logs]]="",
   "",
   VLOOKUP(T_Channel[[#This Row],[Safekeeping of logs]],T_List_LogMode[],2,FALSE)
)</f>
        <v/>
      </c>
      <c r="X557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558" spans="2:24" x14ac:dyDescent="0.45">
      <c r="B558" s="7"/>
      <c r="C558" s="7"/>
      <c r="D558" s="7"/>
      <c r="E558" s="7"/>
      <c r="F558" s="6"/>
      <c r="G558" s="6"/>
      <c r="H558" s="6"/>
      <c r="I558" s="6"/>
      <c r="J558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558" s="21"/>
      <c r="L558" s="7"/>
      <c r="M558" s="41"/>
      <c r="N558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558" s="26" t="str">
        <f>IF(
   T_Channel[[#This Row],[ProviderName]]="",
   "",
   COUNTIF($N$12:$N$9982,T_Channel[[#This Row],[ProviderName]])
)</f>
        <v/>
      </c>
      <c r="P558" s="26" t="str">
        <f>IF(
   T_Channel[[#This Row],[Check]]&lt;&gt;"OK",
   "",
   IF(
      T_Channel[[#This Row],[Query]]="",
      "Empty",
      "Defined"
   )
)</f>
        <v/>
      </c>
      <c r="Q558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558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558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55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558" s="20" t="str">
        <f>IF(
   T_Channel[[#This Row],[Check]]&lt;&gt;"OK",
   "",
   T_Channel[[#This Row],[ChannelSymbol]] &amp; ".evtx"
)</f>
        <v/>
      </c>
      <c r="V558" s="20" t="str">
        <f>IF(
   T_Channel[[#This Row],[Check]]&lt;&gt;"OK",
   "",
   T_Channel[[#This Row],[LogFolder]] &amp; "\" &amp; T_Channel[[#This Row],[LogFile]]
)</f>
        <v/>
      </c>
      <c r="W558" s="20" t="str">
        <f>IF(
   T_Channel[[#This Row],[Safekeeping of logs]]="",
   "",
   VLOOKUP(T_Channel[[#This Row],[Safekeeping of logs]],T_List_LogMode[],2,FALSE)
)</f>
        <v/>
      </c>
      <c r="X558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559" spans="2:24" x14ac:dyDescent="0.45">
      <c r="B559" s="7"/>
      <c r="C559" s="7"/>
      <c r="D559" s="7"/>
      <c r="E559" s="7"/>
      <c r="F559" s="6"/>
      <c r="G559" s="6"/>
      <c r="H559" s="6"/>
      <c r="I559" s="6"/>
      <c r="J559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559" s="21"/>
      <c r="L559" s="7"/>
      <c r="M559" s="41"/>
      <c r="N559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559" s="26" t="str">
        <f>IF(
   T_Channel[[#This Row],[ProviderName]]="",
   "",
   COUNTIF($N$12:$N$9982,T_Channel[[#This Row],[ProviderName]])
)</f>
        <v/>
      </c>
      <c r="P559" s="26" t="str">
        <f>IF(
   T_Channel[[#This Row],[Check]]&lt;&gt;"OK",
   "",
   IF(
      T_Channel[[#This Row],[Query]]="",
      "Empty",
      "Defined"
   )
)</f>
        <v/>
      </c>
      <c r="Q559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559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559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55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559" s="20" t="str">
        <f>IF(
   T_Channel[[#This Row],[Check]]&lt;&gt;"OK",
   "",
   T_Channel[[#This Row],[ChannelSymbol]] &amp; ".evtx"
)</f>
        <v/>
      </c>
      <c r="V559" s="20" t="str">
        <f>IF(
   T_Channel[[#This Row],[Check]]&lt;&gt;"OK",
   "",
   T_Channel[[#This Row],[LogFolder]] &amp; "\" &amp; T_Channel[[#This Row],[LogFile]]
)</f>
        <v/>
      </c>
      <c r="W559" s="20" t="str">
        <f>IF(
   T_Channel[[#This Row],[Safekeeping of logs]]="",
   "",
   VLOOKUP(T_Channel[[#This Row],[Safekeeping of logs]],T_List_LogMode[],2,FALSE)
)</f>
        <v/>
      </c>
      <c r="X559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560" spans="2:24" x14ac:dyDescent="0.45">
      <c r="B560" s="7"/>
      <c r="C560" s="7"/>
      <c r="D560" s="7"/>
      <c r="E560" s="7"/>
      <c r="F560" s="6"/>
      <c r="G560" s="6"/>
      <c r="H560" s="6"/>
      <c r="I560" s="6"/>
      <c r="J560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560" s="21"/>
      <c r="L560" s="7"/>
      <c r="M560" s="41"/>
      <c r="N560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560" s="26" t="str">
        <f>IF(
   T_Channel[[#This Row],[ProviderName]]="",
   "",
   COUNTIF($N$12:$N$9982,T_Channel[[#This Row],[ProviderName]])
)</f>
        <v/>
      </c>
      <c r="P560" s="26" t="str">
        <f>IF(
   T_Channel[[#This Row],[Check]]&lt;&gt;"OK",
   "",
   IF(
      T_Channel[[#This Row],[Query]]="",
      "Empty",
      "Defined"
   )
)</f>
        <v/>
      </c>
      <c r="Q560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560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560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56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560" s="20" t="str">
        <f>IF(
   T_Channel[[#This Row],[Check]]&lt;&gt;"OK",
   "",
   T_Channel[[#This Row],[ChannelSymbol]] &amp; ".evtx"
)</f>
        <v/>
      </c>
      <c r="V560" s="20" t="str">
        <f>IF(
   T_Channel[[#This Row],[Check]]&lt;&gt;"OK",
   "",
   T_Channel[[#This Row],[LogFolder]] &amp; "\" &amp; T_Channel[[#This Row],[LogFile]]
)</f>
        <v/>
      </c>
      <c r="W560" s="20" t="str">
        <f>IF(
   T_Channel[[#This Row],[Safekeeping of logs]]="",
   "",
   VLOOKUP(T_Channel[[#This Row],[Safekeeping of logs]],T_List_LogMode[],2,FALSE)
)</f>
        <v/>
      </c>
      <c r="X560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561" spans="2:24" x14ac:dyDescent="0.45">
      <c r="B561" s="7"/>
      <c r="C561" s="7"/>
      <c r="D561" s="7"/>
      <c r="E561" s="7"/>
      <c r="F561" s="6"/>
      <c r="G561" s="6"/>
      <c r="H561" s="6"/>
      <c r="I561" s="6"/>
      <c r="J561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561" s="21"/>
      <c r="L561" s="7"/>
      <c r="M561" s="41"/>
      <c r="N561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561" s="26" t="str">
        <f>IF(
   T_Channel[[#This Row],[ProviderName]]="",
   "",
   COUNTIF($N$12:$N$9982,T_Channel[[#This Row],[ProviderName]])
)</f>
        <v/>
      </c>
      <c r="P561" s="26" t="str">
        <f>IF(
   T_Channel[[#This Row],[Check]]&lt;&gt;"OK",
   "",
   IF(
      T_Channel[[#This Row],[Query]]="",
      "Empty",
      "Defined"
   )
)</f>
        <v/>
      </c>
      <c r="Q561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561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561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56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561" s="20" t="str">
        <f>IF(
   T_Channel[[#This Row],[Check]]&lt;&gt;"OK",
   "",
   T_Channel[[#This Row],[ChannelSymbol]] &amp; ".evtx"
)</f>
        <v/>
      </c>
      <c r="V561" s="20" t="str">
        <f>IF(
   T_Channel[[#This Row],[Check]]&lt;&gt;"OK",
   "",
   T_Channel[[#This Row],[LogFolder]] &amp; "\" &amp; T_Channel[[#This Row],[LogFile]]
)</f>
        <v/>
      </c>
      <c r="W561" s="20" t="str">
        <f>IF(
   T_Channel[[#This Row],[Safekeeping of logs]]="",
   "",
   VLOOKUP(T_Channel[[#This Row],[Safekeeping of logs]],T_List_LogMode[],2,FALSE)
)</f>
        <v/>
      </c>
      <c r="X561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562" spans="2:24" x14ac:dyDescent="0.45">
      <c r="B562" s="7"/>
      <c r="C562" s="7"/>
      <c r="D562" s="7"/>
      <c r="E562" s="7"/>
      <c r="F562" s="6"/>
      <c r="G562" s="6"/>
      <c r="H562" s="6"/>
      <c r="I562" s="6"/>
      <c r="J562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562" s="21"/>
      <c r="L562" s="7"/>
      <c r="M562" s="41"/>
      <c r="N562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562" s="26" t="str">
        <f>IF(
   T_Channel[[#This Row],[ProviderName]]="",
   "",
   COUNTIF($N$12:$N$9982,T_Channel[[#This Row],[ProviderName]])
)</f>
        <v/>
      </c>
      <c r="P562" s="26" t="str">
        <f>IF(
   T_Channel[[#This Row],[Check]]&lt;&gt;"OK",
   "",
   IF(
      T_Channel[[#This Row],[Query]]="",
      "Empty",
      "Defined"
   )
)</f>
        <v/>
      </c>
      <c r="Q562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562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562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56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562" s="20" t="str">
        <f>IF(
   T_Channel[[#This Row],[Check]]&lt;&gt;"OK",
   "",
   T_Channel[[#This Row],[ChannelSymbol]] &amp; ".evtx"
)</f>
        <v/>
      </c>
      <c r="V562" s="20" t="str">
        <f>IF(
   T_Channel[[#This Row],[Check]]&lt;&gt;"OK",
   "",
   T_Channel[[#This Row],[LogFolder]] &amp; "\" &amp; T_Channel[[#This Row],[LogFile]]
)</f>
        <v/>
      </c>
      <c r="W562" s="20" t="str">
        <f>IF(
   T_Channel[[#This Row],[Safekeeping of logs]]="",
   "",
   VLOOKUP(T_Channel[[#This Row],[Safekeeping of logs]],T_List_LogMode[],2,FALSE)
)</f>
        <v/>
      </c>
      <c r="X562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563" spans="2:24" x14ac:dyDescent="0.45">
      <c r="B563" s="7"/>
      <c r="C563" s="7"/>
      <c r="D563" s="7"/>
      <c r="E563" s="7"/>
      <c r="F563" s="6"/>
      <c r="G563" s="6"/>
      <c r="H563" s="6"/>
      <c r="I563" s="6"/>
      <c r="J563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563" s="21"/>
      <c r="L563" s="7"/>
      <c r="M563" s="41"/>
      <c r="N563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563" s="26" t="str">
        <f>IF(
   T_Channel[[#This Row],[ProviderName]]="",
   "",
   COUNTIF($N$12:$N$9982,T_Channel[[#This Row],[ProviderName]])
)</f>
        <v/>
      </c>
      <c r="P563" s="26" t="str">
        <f>IF(
   T_Channel[[#This Row],[Check]]&lt;&gt;"OK",
   "",
   IF(
      T_Channel[[#This Row],[Query]]="",
      "Empty",
      "Defined"
   )
)</f>
        <v/>
      </c>
      <c r="Q563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563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563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56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563" s="20" t="str">
        <f>IF(
   T_Channel[[#This Row],[Check]]&lt;&gt;"OK",
   "",
   T_Channel[[#This Row],[ChannelSymbol]] &amp; ".evtx"
)</f>
        <v/>
      </c>
      <c r="V563" s="20" t="str">
        <f>IF(
   T_Channel[[#This Row],[Check]]&lt;&gt;"OK",
   "",
   T_Channel[[#This Row],[LogFolder]] &amp; "\" &amp; T_Channel[[#This Row],[LogFile]]
)</f>
        <v/>
      </c>
      <c r="W563" s="20" t="str">
        <f>IF(
   T_Channel[[#This Row],[Safekeeping of logs]]="",
   "",
   VLOOKUP(T_Channel[[#This Row],[Safekeeping of logs]],T_List_LogMode[],2,FALSE)
)</f>
        <v/>
      </c>
      <c r="X563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564" spans="2:24" x14ac:dyDescent="0.45">
      <c r="B564" s="7"/>
      <c r="C564" s="7"/>
      <c r="D564" s="7"/>
      <c r="E564" s="7"/>
      <c r="F564" s="6"/>
      <c r="G564" s="6"/>
      <c r="H564" s="6"/>
      <c r="I564" s="6"/>
      <c r="J564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564" s="21"/>
      <c r="L564" s="7"/>
      <c r="M564" s="41"/>
      <c r="N564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564" s="26" t="str">
        <f>IF(
   T_Channel[[#This Row],[ProviderName]]="",
   "",
   COUNTIF($N$12:$N$9982,T_Channel[[#This Row],[ProviderName]])
)</f>
        <v/>
      </c>
      <c r="P564" s="26" t="str">
        <f>IF(
   T_Channel[[#This Row],[Check]]&lt;&gt;"OK",
   "",
   IF(
      T_Channel[[#This Row],[Query]]="",
      "Empty",
      "Defined"
   )
)</f>
        <v/>
      </c>
      <c r="Q564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564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564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56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564" s="20" t="str">
        <f>IF(
   T_Channel[[#This Row],[Check]]&lt;&gt;"OK",
   "",
   T_Channel[[#This Row],[ChannelSymbol]] &amp; ".evtx"
)</f>
        <v/>
      </c>
      <c r="V564" s="20" t="str">
        <f>IF(
   T_Channel[[#This Row],[Check]]&lt;&gt;"OK",
   "",
   T_Channel[[#This Row],[LogFolder]] &amp; "\" &amp; T_Channel[[#This Row],[LogFile]]
)</f>
        <v/>
      </c>
      <c r="W564" s="20" t="str">
        <f>IF(
   T_Channel[[#This Row],[Safekeeping of logs]]="",
   "",
   VLOOKUP(T_Channel[[#This Row],[Safekeeping of logs]],T_List_LogMode[],2,FALSE)
)</f>
        <v/>
      </c>
      <c r="X564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565" spans="2:24" x14ac:dyDescent="0.45">
      <c r="B565" s="7"/>
      <c r="C565" s="7"/>
      <c r="D565" s="7"/>
      <c r="E565" s="7"/>
      <c r="F565" s="6"/>
      <c r="G565" s="6"/>
      <c r="H565" s="6"/>
      <c r="I565" s="6"/>
      <c r="J565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565" s="21"/>
      <c r="L565" s="7"/>
      <c r="M565" s="41"/>
      <c r="N565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565" s="26" t="str">
        <f>IF(
   T_Channel[[#This Row],[ProviderName]]="",
   "",
   COUNTIF($N$12:$N$9982,T_Channel[[#This Row],[ProviderName]])
)</f>
        <v/>
      </c>
      <c r="P565" s="26" t="str">
        <f>IF(
   T_Channel[[#This Row],[Check]]&lt;&gt;"OK",
   "",
   IF(
      T_Channel[[#This Row],[Query]]="",
      "Empty",
      "Defined"
   )
)</f>
        <v/>
      </c>
      <c r="Q565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565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565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56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565" s="20" t="str">
        <f>IF(
   T_Channel[[#This Row],[Check]]&lt;&gt;"OK",
   "",
   T_Channel[[#This Row],[ChannelSymbol]] &amp; ".evtx"
)</f>
        <v/>
      </c>
      <c r="V565" s="20" t="str">
        <f>IF(
   T_Channel[[#This Row],[Check]]&lt;&gt;"OK",
   "",
   T_Channel[[#This Row],[LogFolder]] &amp; "\" &amp; T_Channel[[#This Row],[LogFile]]
)</f>
        <v/>
      </c>
      <c r="W565" s="20" t="str">
        <f>IF(
   T_Channel[[#This Row],[Safekeeping of logs]]="",
   "",
   VLOOKUP(T_Channel[[#This Row],[Safekeeping of logs]],T_List_LogMode[],2,FALSE)
)</f>
        <v/>
      </c>
      <c r="X565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566" spans="2:24" x14ac:dyDescent="0.45">
      <c r="B566" s="7"/>
      <c r="C566" s="7"/>
      <c r="D566" s="7"/>
      <c r="E566" s="7"/>
      <c r="F566" s="6"/>
      <c r="G566" s="6"/>
      <c r="H566" s="6"/>
      <c r="I566" s="6"/>
      <c r="J566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566" s="21"/>
      <c r="L566" s="7"/>
      <c r="M566" s="41"/>
      <c r="N566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566" s="26" t="str">
        <f>IF(
   T_Channel[[#This Row],[ProviderName]]="",
   "",
   COUNTIF($N$12:$N$9982,T_Channel[[#This Row],[ProviderName]])
)</f>
        <v/>
      </c>
      <c r="P566" s="26" t="str">
        <f>IF(
   T_Channel[[#This Row],[Check]]&lt;&gt;"OK",
   "",
   IF(
      T_Channel[[#This Row],[Query]]="",
      "Empty",
      "Defined"
   )
)</f>
        <v/>
      </c>
      <c r="Q566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566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566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56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566" s="20" t="str">
        <f>IF(
   T_Channel[[#This Row],[Check]]&lt;&gt;"OK",
   "",
   T_Channel[[#This Row],[ChannelSymbol]] &amp; ".evtx"
)</f>
        <v/>
      </c>
      <c r="V566" s="20" t="str">
        <f>IF(
   T_Channel[[#This Row],[Check]]&lt;&gt;"OK",
   "",
   T_Channel[[#This Row],[LogFolder]] &amp; "\" &amp; T_Channel[[#This Row],[LogFile]]
)</f>
        <v/>
      </c>
      <c r="W566" s="20" t="str">
        <f>IF(
   T_Channel[[#This Row],[Safekeeping of logs]]="",
   "",
   VLOOKUP(T_Channel[[#This Row],[Safekeeping of logs]],T_List_LogMode[],2,FALSE)
)</f>
        <v/>
      </c>
      <c r="X566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567" spans="2:24" x14ac:dyDescent="0.45">
      <c r="B567" s="7"/>
      <c r="C567" s="7"/>
      <c r="D567" s="7"/>
      <c r="E567" s="7"/>
      <c r="F567" s="6"/>
      <c r="G567" s="6"/>
      <c r="H567" s="6"/>
      <c r="I567" s="6"/>
      <c r="J567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567" s="21"/>
      <c r="L567" s="7"/>
      <c r="M567" s="41"/>
      <c r="N567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567" s="26" t="str">
        <f>IF(
   T_Channel[[#This Row],[ProviderName]]="",
   "",
   COUNTIF($N$12:$N$9982,T_Channel[[#This Row],[ProviderName]])
)</f>
        <v/>
      </c>
      <c r="P567" s="26" t="str">
        <f>IF(
   T_Channel[[#This Row],[Check]]&lt;&gt;"OK",
   "",
   IF(
      T_Channel[[#This Row],[Query]]="",
      "Empty",
      "Defined"
   )
)</f>
        <v/>
      </c>
      <c r="Q567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567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567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56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567" s="20" t="str">
        <f>IF(
   T_Channel[[#This Row],[Check]]&lt;&gt;"OK",
   "",
   T_Channel[[#This Row],[ChannelSymbol]] &amp; ".evtx"
)</f>
        <v/>
      </c>
      <c r="V567" s="20" t="str">
        <f>IF(
   T_Channel[[#This Row],[Check]]&lt;&gt;"OK",
   "",
   T_Channel[[#This Row],[LogFolder]] &amp; "\" &amp; T_Channel[[#This Row],[LogFile]]
)</f>
        <v/>
      </c>
      <c r="W567" s="20" t="str">
        <f>IF(
   T_Channel[[#This Row],[Safekeeping of logs]]="",
   "",
   VLOOKUP(T_Channel[[#This Row],[Safekeeping of logs]],T_List_LogMode[],2,FALSE)
)</f>
        <v/>
      </c>
      <c r="X567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568" spans="2:24" x14ac:dyDescent="0.45">
      <c r="B568" s="7"/>
      <c r="C568" s="7"/>
      <c r="D568" s="7"/>
      <c r="E568" s="7"/>
      <c r="F568" s="6"/>
      <c r="G568" s="6"/>
      <c r="H568" s="6"/>
      <c r="I568" s="6"/>
      <c r="J568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568" s="21"/>
      <c r="L568" s="7"/>
      <c r="M568" s="41"/>
      <c r="N568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568" s="26" t="str">
        <f>IF(
   T_Channel[[#This Row],[ProviderName]]="",
   "",
   COUNTIF($N$12:$N$9982,T_Channel[[#This Row],[ProviderName]])
)</f>
        <v/>
      </c>
      <c r="P568" s="26" t="str">
        <f>IF(
   T_Channel[[#This Row],[Check]]&lt;&gt;"OK",
   "",
   IF(
      T_Channel[[#This Row],[Query]]="",
      "Empty",
      "Defined"
   )
)</f>
        <v/>
      </c>
      <c r="Q568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568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568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56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568" s="20" t="str">
        <f>IF(
   T_Channel[[#This Row],[Check]]&lt;&gt;"OK",
   "",
   T_Channel[[#This Row],[ChannelSymbol]] &amp; ".evtx"
)</f>
        <v/>
      </c>
      <c r="V568" s="20" t="str">
        <f>IF(
   T_Channel[[#This Row],[Check]]&lt;&gt;"OK",
   "",
   T_Channel[[#This Row],[LogFolder]] &amp; "\" &amp; T_Channel[[#This Row],[LogFile]]
)</f>
        <v/>
      </c>
      <c r="W568" s="20" t="str">
        <f>IF(
   T_Channel[[#This Row],[Safekeeping of logs]]="",
   "",
   VLOOKUP(T_Channel[[#This Row],[Safekeeping of logs]],T_List_LogMode[],2,FALSE)
)</f>
        <v/>
      </c>
      <c r="X568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569" spans="2:24" x14ac:dyDescent="0.45">
      <c r="B569" s="7"/>
      <c r="C569" s="7"/>
      <c r="D569" s="7"/>
      <c r="E569" s="7"/>
      <c r="F569" s="6"/>
      <c r="G569" s="6"/>
      <c r="H569" s="6"/>
      <c r="I569" s="6"/>
      <c r="J569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569" s="21"/>
      <c r="L569" s="7"/>
      <c r="M569" s="41"/>
      <c r="N569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569" s="26" t="str">
        <f>IF(
   T_Channel[[#This Row],[ProviderName]]="",
   "",
   COUNTIF($N$12:$N$9982,T_Channel[[#This Row],[ProviderName]])
)</f>
        <v/>
      </c>
      <c r="P569" s="26" t="str">
        <f>IF(
   T_Channel[[#This Row],[Check]]&lt;&gt;"OK",
   "",
   IF(
      T_Channel[[#This Row],[Query]]="",
      "Empty",
      "Defined"
   )
)</f>
        <v/>
      </c>
      <c r="Q569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569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569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56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569" s="20" t="str">
        <f>IF(
   T_Channel[[#This Row],[Check]]&lt;&gt;"OK",
   "",
   T_Channel[[#This Row],[ChannelSymbol]] &amp; ".evtx"
)</f>
        <v/>
      </c>
      <c r="V569" s="20" t="str">
        <f>IF(
   T_Channel[[#This Row],[Check]]&lt;&gt;"OK",
   "",
   T_Channel[[#This Row],[LogFolder]] &amp; "\" &amp; T_Channel[[#This Row],[LogFile]]
)</f>
        <v/>
      </c>
      <c r="W569" s="20" t="str">
        <f>IF(
   T_Channel[[#This Row],[Safekeeping of logs]]="",
   "",
   VLOOKUP(T_Channel[[#This Row],[Safekeeping of logs]],T_List_LogMode[],2,FALSE)
)</f>
        <v/>
      </c>
      <c r="X569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570" spans="2:24" x14ac:dyDescent="0.45">
      <c r="B570" s="7"/>
      <c r="C570" s="7"/>
      <c r="D570" s="7"/>
      <c r="E570" s="7"/>
      <c r="F570" s="6"/>
      <c r="G570" s="6"/>
      <c r="H570" s="6"/>
      <c r="I570" s="6"/>
      <c r="J570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570" s="21"/>
      <c r="L570" s="7"/>
      <c r="M570" s="41"/>
      <c r="N570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570" s="26" t="str">
        <f>IF(
   T_Channel[[#This Row],[ProviderName]]="",
   "",
   COUNTIF($N$12:$N$9982,T_Channel[[#This Row],[ProviderName]])
)</f>
        <v/>
      </c>
      <c r="P570" s="26" t="str">
        <f>IF(
   T_Channel[[#This Row],[Check]]&lt;&gt;"OK",
   "",
   IF(
      T_Channel[[#This Row],[Query]]="",
      "Empty",
      "Defined"
   )
)</f>
        <v/>
      </c>
      <c r="Q570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570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570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57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570" s="20" t="str">
        <f>IF(
   T_Channel[[#This Row],[Check]]&lt;&gt;"OK",
   "",
   T_Channel[[#This Row],[ChannelSymbol]] &amp; ".evtx"
)</f>
        <v/>
      </c>
      <c r="V570" s="20" t="str">
        <f>IF(
   T_Channel[[#This Row],[Check]]&lt;&gt;"OK",
   "",
   T_Channel[[#This Row],[LogFolder]] &amp; "\" &amp; T_Channel[[#This Row],[LogFile]]
)</f>
        <v/>
      </c>
      <c r="W570" s="20" t="str">
        <f>IF(
   T_Channel[[#This Row],[Safekeeping of logs]]="",
   "",
   VLOOKUP(T_Channel[[#This Row],[Safekeeping of logs]],T_List_LogMode[],2,FALSE)
)</f>
        <v/>
      </c>
      <c r="X570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571" spans="2:24" x14ac:dyDescent="0.45">
      <c r="B571" s="7"/>
      <c r="C571" s="7"/>
      <c r="D571" s="7"/>
      <c r="E571" s="7"/>
      <c r="F571" s="6"/>
      <c r="G571" s="6"/>
      <c r="H571" s="6"/>
      <c r="I571" s="6"/>
      <c r="J571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571" s="21"/>
      <c r="L571" s="7"/>
      <c r="M571" s="41"/>
      <c r="N571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571" s="26" t="str">
        <f>IF(
   T_Channel[[#This Row],[ProviderName]]="",
   "",
   COUNTIF($N$12:$N$9982,T_Channel[[#This Row],[ProviderName]])
)</f>
        <v/>
      </c>
      <c r="P571" s="26" t="str">
        <f>IF(
   T_Channel[[#This Row],[Check]]&lt;&gt;"OK",
   "",
   IF(
      T_Channel[[#This Row],[Query]]="",
      "Empty",
      "Defined"
   )
)</f>
        <v/>
      </c>
      <c r="Q571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571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571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57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571" s="20" t="str">
        <f>IF(
   T_Channel[[#This Row],[Check]]&lt;&gt;"OK",
   "",
   T_Channel[[#This Row],[ChannelSymbol]] &amp; ".evtx"
)</f>
        <v/>
      </c>
      <c r="V571" s="20" t="str">
        <f>IF(
   T_Channel[[#This Row],[Check]]&lt;&gt;"OK",
   "",
   T_Channel[[#This Row],[LogFolder]] &amp; "\" &amp; T_Channel[[#This Row],[LogFile]]
)</f>
        <v/>
      </c>
      <c r="W571" s="20" t="str">
        <f>IF(
   T_Channel[[#This Row],[Safekeeping of logs]]="",
   "",
   VLOOKUP(T_Channel[[#This Row],[Safekeeping of logs]],T_List_LogMode[],2,FALSE)
)</f>
        <v/>
      </c>
      <c r="X571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572" spans="2:24" x14ac:dyDescent="0.45">
      <c r="B572" s="7"/>
      <c r="C572" s="7"/>
      <c r="D572" s="7"/>
      <c r="E572" s="7"/>
      <c r="F572" s="6"/>
      <c r="G572" s="6"/>
      <c r="H572" s="6"/>
      <c r="I572" s="6"/>
      <c r="J572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572" s="21"/>
      <c r="L572" s="7"/>
      <c r="M572" s="41"/>
      <c r="N572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572" s="26" t="str">
        <f>IF(
   T_Channel[[#This Row],[ProviderName]]="",
   "",
   COUNTIF($N$12:$N$9982,T_Channel[[#This Row],[ProviderName]])
)</f>
        <v/>
      </c>
      <c r="P572" s="26" t="str">
        <f>IF(
   T_Channel[[#This Row],[Check]]&lt;&gt;"OK",
   "",
   IF(
      T_Channel[[#This Row],[Query]]="",
      "Empty",
      "Defined"
   )
)</f>
        <v/>
      </c>
      <c r="Q572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572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572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57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572" s="20" t="str">
        <f>IF(
   T_Channel[[#This Row],[Check]]&lt;&gt;"OK",
   "",
   T_Channel[[#This Row],[ChannelSymbol]] &amp; ".evtx"
)</f>
        <v/>
      </c>
      <c r="V572" s="20" t="str">
        <f>IF(
   T_Channel[[#This Row],[Check]]&lt;&gt;"OK",
   "",
   T_Channel[[#This Row],[LogFolder]] &amp; "\" &amp; T_Channel[[#This Row],[LogFile]]
)</f>
        <v/>
      </c>
      <c r="W572" s="20" t="str">
        <f>IF(
   T_Channel[[#This Row],[Safekeeping of logs]]="",
   "",
   VLOOKUP(T_Channel[[#This Row],[Safekeeping of logs]],T_List_LogMode[],2,FALSE)
)</f>
        <v/>
      </c>
      <c r="X572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573" spans="2:24" x14ac:dyDescent="0.45">
      <c r="B573" s="7"/>
      <c r="C573" s="7"/>
      <c r="D573" s="7"/>
      <c r="E573" s="7"/>
      <c r="F573" s="6"/>
      <c r="G573" s="6"/>
      <c r="H573" s="6"/>
      <c r="I573" s="6"/>
      <c r="J573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573" s="21"/>
      <c r="L573" s="7"/>
      <c r="M573" s="41"/>
      <c r="N573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573" s="26" t="str">
        <f>IF(
   T_Channel[[#This Row],[ProviderName]]="",
   "",
   COUNTIF($N$12:$N$9982,T_Channel[[#This Row],[ProviderName]])
)</f>
        <v/>
      </c>
      <c r="P573" s="26" t="str">
        <f>IF(
   T_Channel[[#This Row],[Check]]&lt;&gt;"OK",
   "",
   IF(
      T_Channel[[#This Row],[Query]]="",
      "Empty",
      "Defined"
   )
)</f>
        <v/>
      </c>
      <c r="Q573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573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573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57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573" s="20" t="str">
        <f>IF(
   T_Channel[[#This Row],[Check]]&lt;&gt;"OK",
   "",
   T_Channel[[#This Row],[ChannelSymbol]] &amp; ".evtx"
)</f>
        <v/>
      </c>
      <c r="V573" s="20" t="str">
        <f>IF(
   T_Channel[[#This Row],[Check]]&lt;&gt;"OK",
   "",
   T_Channel[[#This Row],[LogFolder]] &amp; "\" &amp; T_Channel[[#This Row],[LogFile]]
)</f>
        <v/>
      </c>
      <c r="W573" s="20" t="str">
        <f>IF(
   T_Channel[[#This Row],[Safekeeping of logs]]="",
   "",
   VLOOKUP(T_Channel[[#This Row],[Safekeeping of logs]],T_List_LogMode[],2,FALSE)
)</f>
        <v/>
      </c>
      <c r="X573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574" spans="2:24" x14ac:dyDescent="0.45">
      <c r="B574" s="7"/>
      <c r="C574" s="7"/>
      <c r="D574" s="7"/>
      <c r="E574" s="7"/>
      <c r="F574" s="6"/>
      <c r="G574" s="6"/>
      <c r="H574" s="6"/>
      <c r="I574" s="6"/>
      <c r="J574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574" s="21"/>
      <c r="L574" s="7"/>
      <c r="M574" s="41"/>
      <c r="N574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574" s="26" t="str">
        <f>IF(
   T_Channel[[#This Row],[ProviderName]]="",
   "",
   COUNTIF($N$12:$N$9982,T_Channel[[#This Row],[ProviderName]])
)</f>
        <v/>
      </c>
      <c r="P574" s="26" t="str">
        <f>IF(
   T_Channel[[#This Row],[Check]]&lt;&gt;"OK",
   "",
   IF(
      T_Channel[[#This Row],[Query]]="",
      "Empty",
      "Defined"
   )
)</f>
        <v/>
      </c>
      <c r="Q574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574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574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57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574" s="20" t="str">
        <f>IF(
   T_Channel[[#This Row],[Check]]&lt;&gt;"OK",
   "",
   T_Channel[[#This Row],[ChannelSymbol]] &amp; ".evtx"
)</f>
        <v/>
      </c>
      <c r="V574" s="20" t="str">
        <f>IF(
   T_Channel[[#This Row],[Check]]&lt;&gt;"OK",
   "",
   T_Channel[[#This Row],[LogFolder]] &amp; "\" &amp; T_Channel[[#This Row],[LogFile]]
)</f>
        <v/>
      </c>
      <c r="W574" s="20" t="str">
        <f>IF(
   T_Channel[[#This Row],[Safekeeping of logs]]="",
   "",
   VLOOKUP(T_Channel[[#This Row],[Safekeeping of logs]],T_List_LogMode[],2,FALSE)
)</f>
        <v/>
      </c>
      <c r="X574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575" spans="2:24" x14ac:dyDescent="0.45">
      <c r="B575" s="7"/>
      <c r="C575" s="7"/>
      <c r="D575" s="7"/>
      <c r="E575" s="7"/>
      <c r="F575" s="6"/>
      <c r="G575" s="6"/>
      <c r="H575" s="6"/>
      <c r="I575" s="6"/>
      <c r="J575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575" s="21"/>
      <c r="L575" s="7"/>
      <c r="M575" s="41"/>
      <c r="N575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575" s="26" t="str">
        <f>IF(
   T_Channel[[#This Row],[ProviderName]]="",
   "",
   COUNTIF($N$12:$N$9982,T_Channel[[#This Row],[ProviderName]])
)</f>
        <v/>
      </c>
      <c r="P575" s="26" t="str">
        <f>IF(
   T_Channel[[#This Row],[Check]]&lt;&gt;"OK",
   "",
   IF(
      T_Channel[[#This Row],[Query]]="",
      "Empty",
      "Defined"
   )
)</f>
        <v/>
      </c>
      <c r="Q575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575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575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57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575" s="20" t="str">
        <f>IF(
   T_Channel[[#This Row],[Check]]&lt;&gt;"OK",
   "",
   T_Channel[[#This Row],[ChannelSymbol]] &amp; ".evtx"
)</f>
        <v/>
      </c>
      <c r="V575" s="20" t="str">
        <f>IF(
   T_Channel[[#This Row],[Check]]&lt;&gt;"OK",
   "",
   T_Channel[[#This Row],[LogFolder]] &amp; "\" &amp; T_Channel[[#This Row],[LogFile]]
)</f>
        <v/>
      </c>
      <c r="W575" s="20" t="str">
        <f>IF(
   T_Channel[[#This Row],[Safekeeping of logs]]="",
   "",
   VLOOKUP(T_Channel[[#This Row],[Safekeeping of logs]],T_List_LogMode[],2,FALSE)
)</f>
        <v/>
      </c>
      <c r="X575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576" spans="2:24" x14ac:dyDescent="0.45">
      <c r="B576" s="7"/>
      <c r="C576" s="7"/>
      <c r="D576" s="7"/>
      <c r="E576" s="7"/>
      <c r="F576" s="6"/>
      <c r="G576" s="6"/>
      <c r="H576" s="6"/>
      <c r="I576" s="6"/>
      <c r="J576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576" s="21"/>
      <c r="L576" s="7"/>
      <c r="M576" s="41"/>
      <c r="N576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576" s="26" t="str">
        <f>IF(
   T_Channel[[#This Row],[ProviderName]]="",
   "",
   COUNTIF($N$12:$N$9982,T_Channel[[#This Row],[ProviderName]])
)</f>
        <v/>
      </c>
      <c r="P576" s="26" t="str">
        <f>IF(
   T_Channel[[#This Row],[Check]]&lt;&gt;"OK",
   "",
   IF(
      T_Channel[[#This Row],[Query]]="",
      "Empty",
      "Defined"
   )
)</f>
        <v/>
      </c>
      <c r="Q576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576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576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57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576" s="20" t="str">
        <f>IF(
   T_Channel[[#This Row],[Check]]&lt;&gt;"OK",
   "",
   T_Channel[[#This Row],[ChannelSymbol]] &amp; ".evtx"
)</f>
        <v/>
      </c>
      <c r="V576" s="20" t="str">
        <f>IF(
   T_Channel[[#This Row],[Check]]&lt;&gt;"OK",
   "",
   T_Channel[[#This Row],[LogFolder]] &amp; "\" &amp; T_Channel[[#This Row],[LogFile]]
)</f>
        <v/>
      </c>
      <c r="W576" s="20" t="str">
        <f>IF(
   T_Channel[[#This Row],[Safekeeping of logs]]="",
   "",
   VLOOKUP(T_Channel[[#This Row],[Safekeeping of logs]],T_List_LogMode[],2,FALSE)
)</f>
        <v/>
      </c>
      <c r="X576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577" spans="2:24" x14ac:dyDescent="0.45">
      <c r="B577" s="7"/>
      <c r="C577" s="7"/>
      <c r="D577" s="7"/>
      <c r="E577" s="7"/>
      <c r="F577" s="6"/>
      <c r="G577" s="6"/>
      <c r="H577" s="6"/>
      <c r="I577" s="6"/>
      <c r="J577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577" s="21"/>
      <c r="L577" s="7"/>
      <c r="M577" s="41"/>
      <c r="N577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577" s="26" t="str">
        <f>IF(
   T_Channel[[#This Row],[ProviderName]]="",
   "",
   COUNTIF($N$12:$N$9982,T_Channel[[#This Row],[ProviderName]])
)</f>
        <v/>
      </c>
      <c r="P577" s="26" t="str">
        <f>IF(
   T_Channel[[#This Row],[Check]]&lt;&gt;"OK",
   "",
   IF(
      T_Channel[[#This Row],[Query]]="",
      "Empty",
      "Defined"
   )
)</f>
        <v/>
      </c>
      <c r="Q577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577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577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57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577" s="20" t="str">
        <f>IF(
   T_Channel[[#This Row],[Check]]&lt;&gt;"OK",
   "",
   T_Channel[[#This Row],[ChannelSymbol]] &amp; ".evtx"
)</f>
        <v/>
      </c>
      <c r="V577" s="20" t="str">
        <f>IF(
   T_Channel[[#This Row],[Check]]&lt;&gt;"OK",
   "",
   T_Channel[[#This Row],[LogFolder]] &amp; "\" &amp; T_Channel[[#This Row],[LogFile]]
)</f>
        <v/>
      </c>
      <c r="W577" s="20" t="str">
        <f>IF(
   T_Channel[[#This Row],[Safekeeping of logs]]="",
   "",
   VLOOKUP(T_Channel[[#This Row],[Safekeeping of logs]],T_List_LogMode[],2,FALSE)
)</f>
        <v/>
      </c>
      <c r="X577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578" spans="2:24" x14ac:dyDescent="0.45">
      <c r="B578" s="7"/>
      <c r="C578" s="7"/>
      <c r="D578" s="7"/>
      <c r="E578" s="7"/>
      <c r="F578" s="6"/>
      <c r="G578" s="6"/>
      <c r="H578" s="6"/>
      <c r="I578" s="6"/>
      <c r="J578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578" s="21"/>
      <c r="L578" s="7"/>
      <c r="M578" s="41"/>
      <c r="N578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578" s="26" t="str">
        <f>IF(
   T_Channel[[#This Row],[ProviderName]]="",
   "",
   COUNTIF($N$12:$N$9982,T_Channel[[#This Row],[ProviderName]])
)</f>
        <v/>
      </c>
      <c r="P578" s="26" t="str">
        <f>IF(
   T_Channel[[#This Row],[Check]]&lt;&gt;"OK",
   "",
   IF(
      T_Channel[[#This Row],[Query]]="",
      "Empty",
      "Defined"
   )
)</f>
        <v/>
      </c>
      <c r="Q578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578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578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57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578" s="20" t="str">
        <f>IF(
   T_Channel[[#This Row],[Check]]&lt;&gt;"OK",
   "",
   T_Channel[[#This Row],[ChannelSymbol]] &amp; ".evtx"
)</f>
        <v/>
      </c>
      <c r="V578" s="20" t="str">
        <f>IF(
   T_Channel[[#This Row],[Check]]&lt;&gt;"OK",
   "",
   T_Channel[[#This Row],[LogFolder]] &amp; "\" &amp; T_Channel[[#This Row],[LogFile]]
)</f>
        <v/>
      </c>
      <c r="W578" s="20" t="str">
        <f>IF(
   T_Channel[[#This Row],[Safekeeping of logs]]="",
   "",
   VLOOKUP(T_Channel[[#This Row],[Safekeeping of logs]],T_List_LogMode[],2,FALSE)
)</f>
        <v/>
      </c>
      <c r="X578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579" spans="2:24" x14ac:dyDescent="0.45">
      <c r="B579" s="7"/>
      <c r="C579" s="7"/>
      <c r="D579" s="7"/>
      <c r="E579" s="7"/>
      <c r="F579" s="6"/>
      <c r="G579" s="6"/>
      <c r="H579" s="6"/>
      <c r="I579" s="6"/>
      <c r="J579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579" s="21"/>
      <c r="L579" s="7"/>
      <c r="M579" s="41"/>
      <c r="N579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579" s="26" t="str">
        <f>IF(
   T_Channel[[#This Row],[ProviderName]]="",
   "",
   COUNTIF($N$12:$N$9982,T_Channel[[#This Row],[ProviderName]])
)</f>
        <v/>
      </c>
      <c r="P579" s="26" t="str">
        <f>IF(
   T_Channel[[#This Row],[Check]]&lt;&gt;"OK",
   "",
   IF(
      T_Channel[[#This Row],[Query]]="",
      "Empty",
      "Defined"
   )
)</f>
        <v/>
      </c>
      <c r="Q579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579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579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57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579" s="20" t="str">
        <f>IF(
   T_Channel[[#This Row],[Check]]&lt;&gt;"OK",
   "",
   T_Channel[[#This Row],[ChannelSymbol]] &amp; ".evtx"
)</f>
        <v/>
      </c>
      <c r="V579" s="20" t="str">
        <f>IF(
   T_Channel[[#This Row],[Check]]&lt;&gt;"OK",
   "",
   T_Channel[[#This Row],[LogFolder]] &amp; "\" &amp; T_Channel[[#This Row],[LogFile]]
)</f>
        <v/>
      </c>
      <c r="W579" s="20" t="str">
        <f>IF(
   T_Channel[[#This Row],[Safekeeping of logs]]="",
   "",
   VLOOKUP(T_Channel[[#This Row],[Safekeeping of logs]],T_List_LogMode[],2,FALSE)
)</f>
        <v/>
      </c>
      <c r="X579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580" spans="2:24" x14ac:dyDescent="0.45">
      <c r="B580" s="7"/>
      <c r="C580" s="7"/>
      <c r="D580" s="7"/>
      <c r="E580" s="7"/>
      <c r="F580" s="6"/>
      <c r="G580" s="6"/>
      <c r="H580" s="6"/>
      <c r="I580" s="6"/>
      <c r="J580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580" s="21"/>
      <c r="L580" s="7"/>
      <c r="M580" s="41"/>
      <c r="N580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580" s="26" t="str">
        <f>IF(
   T_Channel[[#This Row],[ProviderName]]="",
   "",
   COUNTIF($N$12:$N$9982,T_Channel[[#This Row],[ProviderName]])
)</f>
        <v/>
      </c>
      <c r="P580" s="26" t="str">
        <f>IF(
   T_Channel[[#This Row],[Check]]&lt;&gt;"OK",
   "",
   IF(
      T_Channel[[#This Row],[Query]]="",
      "Empty",
      "Defined"
   )
)</f>
        <v/>
      </c>
      <c r="Q580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580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580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58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580" s="20" t="str">
        <f>IF(
   T_Channel[[#This Row],[Check]]&lt;&gt;"OK",
   "",
   T_Channel[[#This Row],[ChannelSymbol]] &amp; ".evtx"
)</f>
        <v/>
      </c>
      <c r="V580" s="20" t="str">
        <f>IF(
   T_Channel[[#This Row],[Check]]&lt;&gt;"OK",
   "",
   T_Channel[[#This Row],[LogFolder]] &amp; "\" &amp; T_Channel[[#This Row],[LogFile]]
)</f>
        <v/>
      </c>
      <c r="W580" s="20" t="str">
        <f>IF(
   T_Channel[[#This Row],[Safekeeping of logs]]="",
   "",
   VLOOKUP(T_Channel[[#This Row],[Safekeeping of logs]],T_List_LogMode[],2,FALSE)
)</f>
        <v/>
      </c>
      <c r="X580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581" spans="2:24" x14ac:dyDescent="0.45">
      <c r="B581" s="7"/>
      <c r="C581" s="7"/>
      <c r="D581" s="7"/>
      <c r="E581" s="7"/>
      <c r="F581" s="6"/>
      <c r="G581" s="6"/>
      <c r="H581" s="6"/>
      <c r="I581" s="6"/>
      <c r="J581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581" s="21"/>
      <c r="L581" s="7"/>
      <c r="M581" s="41"/>
      <c r="N581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581" s="26" t="str">
        <f>IF(
   T_Channel[[#This Row],[ProviderName]]="",
   "",
   COUNTIF($N$12:$N$9982,T_Channel[[#This Row],[ProviderName]])
)</f>
        <v/>
      </c>
      <c r="P581" s="26" t="str">
        <f>IF(
   T_Channel[[#This Row],[Check]]&lt;&gt;"OK",
   "",
   IF(
      T_Channel[[#This Row],[Query]]="",
      "Empty",
      "Defined"
   )
)</f>
        <v/>
      </c>
      <c r="Q581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581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581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58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581" s="20" t="str">
        <f>IF(
   T_Channel[[#This Row],[Check]]&lt;&gt;"OK",
   "",
   T_Channel[[#This Row],[ChannelSymbol]] &amp; ".evtx"
)</f>
        <v/>
      </c>
      <c r="V581" s="20" t="str">
        <f>IF(
   T_Channel[[#This Row],[Check]]&lt;&gt;"OK",
   "",
   T_Channel[[#This Row],[LogFolder]] &amp; "\" &amp; T_Channel[[#This Row],[LogFile]]
)</f>
        <v/>
      </c>
      <c r="W581" s="20" t="str">
        <f>IF(
   T_Channel[[#This Row],[Safekeeping of logs]]="",
   "",
   VLOOKUP(T_Channel[[#This Row],[Safekeeping of logs]],T_List_LogMode[],2,FALSE)
)</f>
        <v/>
      </c>
      <c r="X581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582" spans="2:24" x14ac:dyDescent="0.45">
      <c r="B582" s="7"/>
      <c r="C582" s="7"/>
      <c r="D582" s="7"/>
      <c r="E582" s="7"/>
      <c r="F582" s="6"/>
      <c r="G582" s="6"/>
      <c r="H582" s="6"/>
      <c r="I582" s="6"/>
      <c r="J582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582" s="21"/>
      <c r="L582" s="7"/>
      <c r="M582" s="41"/>
      <c r="N582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582" s="26" t="str">
        <f>IF(
   T_Channel[[#This Row],[ProviderName]]="",
   "",
   COUNTIF($N$12:$N$9982,T_Channel[[#This Row],[ProviderName]])
)</f>
        <v/>
      </c>
      <c r="P582" s="26" t="str">
        <f>IF(
   T_Channel[[#This Row],[Check]]&lt;&gt;"OK",
   "",
   IF(
      T_Channel[[#This Row],[Query]]="",
      "Empty",
      "Defined"
   )
)</f>
        <v/>
      </c>
      <c r="Q582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582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582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58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582" s="20" t="str">
        <f>IF(
   T_Channel[[#This Row],[Check]]&lt;&gt;"OK",
   "",
   T_Channel[[#This Row],[ChannelSymbol]] &amp; ".evtx"
)</f>
        <v/>
      </c>
      <c r="V582" s="20" t="str">
        <f>IF(
   T_Channel[[#This Row],[Check]]&lt;&gt;"OK",
   "",
   T_Channel[[#This Row],[LogFolder]] &amp; "\" &amp; T_Channel[[#This Row],[LogFile]]
)</f>
        <v/>
      </c>
      <c r="W582" s="20" t="str">
        <f>IF(
   T_Channel[[#This Row],[Safekeeping of logs]]="",
   "",
   VLOOKUP(T_Channel[[#This Row],[Safekeeping of logs]],T_List_LogMode[],2,FALSE)
)</f>
        <v/>
      </c>
      <c r="X582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583" spans="2:24" x14ac:dyDescent="0.45">
      <c r="B583" s="7"/>
      <c r="C583" s="7"/>
      <c r="D583" s="7"/>
      <c r="E583" s="7"/>
      <c r="F583" s="6"/>
      <c r="G583" s="6"/>
      <c r="H583" s="6"/>
      <c r="I583" s="6"/>
      <c r="J583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583" s="21"/>
      <c r="L583" s="7"/>
      <c r="M583" s="41"/>
      <c r="N583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583" s="26" t="str">
        <f>IF(
   T_Channel[[#This Row],[ProviderName]]="",
   "",
   COUNTIF($N$12:$N$9982,T_Channel[[#This Row],[ProviderName]])
)</f>
        <v/>
      </c>
      <c r="P583" s="26" t="str">
        <f>IF(
   T_Channel[[#This Row],[Check]]&lt;&gt;"OK",
   "",
   IF(
      T_Channel[[#This Row],[Query]]="",
      "Empty",
      "Defined"
   )
)</f>
        <v/>
      </c>
      <c r="Q583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583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583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58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583" s="20" t="str">
        <f>IF(
   T_Channel[[#This Row],[Check]]&lt;&gt;"OK",
   "",
   T_Channel[[#This Row],[ChannelSymbol]] &amp; ".evtx"
)</f>
        <v/>
      </c>
      <c r="V583" s="20" t="str">
        <f>IF(
   T_Channel[[#This Row],[Check]]&lt;&gt;"OK",
   "",
   T_Channel[[#This Row],[LogFolder]] &amp; "\" &amp; T_Channel[[#This Row],[LogFile]]
)</f>
        <v/>
      </c>
      <c r="W583" s="20" t="str">
        <f>IF(
   T_Channel[[#This Row],[Safekeeping of logs]]="",
   "",
   VLOOKUP(T_Channel[[#This Row],[Safekeeping of logs]],T_List_LogMode[],2,FALSE)
)</f>
        <v/>
      </c>
      <c r="X583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584" spans="2:24" x14ac:dyDescent="0.45">
      <c r="B584" s="7"/>
      <c r="C584" s="7"/>
      <c r="D584" s="7"/>
      <c r="E584" s="7"/>
      <c r="F584" s="6"/>
      <c r="G584" s="6"/>
      <c r="H584" s="6"/>
      <c r="I584" s="6"/>
      <c r="J584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584" s="21"/>
      <c r="L584" s="7"/>
      <c r="M584" s="41"/>
      <c r="N584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584" s="26" t="str">
        <f>IF(
   T_Channel[[#This Row],[ProviderName]]="",
   "",
   COUNTIF($N$12:$N$9982,T_Channel[[#This Row],[ProviderName]])
)</f>
        <v/>
      </c>
      <c r="P584" s="26" t="str">
        <f>IF(
   T_Channel[[#This Row],[Check]]&lt;&gt;"OK",
   "",
   IF(
      T_Channel[[#This Row],[Query]]="",
      "Empty",
      "Defined"
   )
)</f>
        <v/>
      </c>
      <c r="Q584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584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584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58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584" s="20" t="str">
        <f>IF(
   T_Channel[[#This Row],[Check]]&lt;&gt;"OK",
   "",
   T_Channel[[#This Row],[ChannelSymbol]] &amp; ".evtx"
)</f>
        <v/>
      </c>
      <c r="V584" s="20" t="str">
        <f>IF(
   T_Channel[[#This Row],[Check]]&lt;&gt;"OK",
   "",
   T_Channel[[#This Row],[LogFolder]] &amp; "\" &amp; T_Channel[[#This Row],[LogFile]]
)</f>
        <v/>
      </c>
      <c r="W584" s="20" t="str">
        <f>IF(
   T_Channel[[#This Row],[Safekeeping of logs]]="",
   "",
   VLOOKUP(T_Channel[[#This Row],[Safekeeping of logs]],T_List_LogMode[],2,FALSE)
)</f>
        <v/>
      </c>
      <c r="X584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585" spans="2:24" x14ac:dyDescent="0.45">
      <c r="B585" s="7"/>
      <c r="C585" s="7"/>
      <c r="D585" s="7"/>
      <c r="E585" s="7"/>
      <c r="F585" s="6"/>
      <c r="G585" s="6"/>
      <c r="H585" s="6"/>
      <c r="I585" s="6"/>
      <c r="J585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585" s="21"/>
      <c r="L585" s="7"/>
      <c r="M585" s="41"/>
      <c r="N585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585" s="26" t="str">
        <f>IF(
   T_Channel[[#This Row],[ProviderName]]="",
   "",
   COUNTIF($N$12:$N$9982,T_Channel[[#This Row],[ProviderName]])
)</f>
        <v/>
      </c>
      <c r="P585" s="26" t="str">
        <f>IF(
   T_Channel[[#This Row],[Check]]&lt;&gt;"OK",
   "",
   IF(
      T_Channel[[#This Row],[Query]]="",
      "Empty",
      "Defined"
   )
)</f>
        <v/>
      </c>
      <c r="Q585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585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585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58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585" s="20" t="str">
        <f>IF(
   T_Channel[[#This Row],[Check]]&lt;&gt;"OK",
   "",
   T_Channel[[#This Row],[ChannelSymbol]] &amp; ".evtx"
)</f>
        <v/>
      </c>
      <c r="V585" s="20" t="str">
        <f>IF(
   T_Channel[[#This Row],[Check]]&lt;&gt;"OK",
   "",
   T_Channel[[#This Row],[LogFolder]] &amp; "\" &amp; T_Channel[[#This Row],[LogFile]]
)</f>
        <v/>
      </c>
      <c r="W585" s="20" t="str">
        <f>IF(
   T_Channel[[#This Row],[Safekeeping of logs]]="",
   "",
   VLOOKUP(T_Channel[[#This Row],[Safekeeping of logs]],T_List_LogMode[],2,FALSE)
)</f>
        <v/>
      </c>
      <c r="X585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586" spans="2:24" x14ac:dyDescent="0.45">
      <c r="B586" s="7"/>
      <c r="C586" s="7"/>
      <c r="D586" s="7"/>
      <c r="E586" s="7"/>
      <c r="F586" s="6"/>
      <c r="G586" s="6"/>
      <c r="H586" s="6"/>
      <c r="I586" s="6"/>
      <c r="J586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586" s="21"/>
      <c r="L586" s="7"/>
      <c r="M586" s="41"/>
      <c r="N586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586" s="26" t="str">
        <f>IF(
   T_Channel[[#This Row],[ProviderName]]="",
   "",
   COUNTIF($N$12:$N$9982,T_Channel[[#This Row],[ProviderName]])
)</f>
        <v/>
      </c>
      <c r="P586" s="26" t="str">
        <f>IF(
   T_Channel[[#This Row],[Check]]&lt;&gt;"OK",
   "",
   IF(
      T_Channel[[#This Row],[Query]]="",
      "Empty",
      "Defined"
   )
)</f>
        <v/>
      </c>
      <c r="Q586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586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586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58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586" s="20" t="str">
        <f>IF(
   T_Channel[[#This Row],[Check]]&lt;&gt;"OK",
   "",
   T_Channel[[#This Row],[ChannelSymbol]] &amp; ".evtx"
)</f>
        <v/>
      </c>
      <c r="V586" s="20" t="str">
        <f>IF(
   T_Channel[[#This Row],[Check]]&lt;&gt;"OK",
   "",
   T_Channel[[#This Row],[LogFolder]] &amp; "\" &amp; T_Channel[[#This Row],[LogFile]]
)</f>
        <v/>
      </c>
      <c r="W586" s="20" t="str">
        <f>IF(
   T_Channel[[#This Row],[Safekeeping of logs]]="",
   "",
   VLOOKUP(T_Channel[[#This Row],[Safekeeping of logs]],T_List_LogMode[],2,FALSE)
)</f>
        <v/>
      </c>
      <c r="X586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587" spans="2:24" x14ac:dyDescent="0.45">
      <c r="B587" s="7"/>
      <c r="C587" s="7"/>
      <c r="D587" s="7"/>
      <c r="E587" s="7"/>
      <c r="F587" s="6"/>
      <c r="G587" s="6"/>
      <c r="H587" s="6"/>
      <c r="I587" s="6"/>
      <c r="J587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587" s="21"/>
      <c r="L587" s="7"/>
      <c r="M587" s="41"/>
      <c r="N587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587" s="26" t="str">
        <f>IF(
   T_Channel[[#This Row],[ProviderName]]="",
   "",
   COUNTIF($N$12:$N$9982,T_Channel[[#This Row],[ProviderName]])
)</f>
        <v/>
      </c>
      <c r="P587" s="26" t="str">
        <f>IF(
   T_Channel[[#This Row],[Check]]&lt;&gt;"OK",
   "",
   IF(
      T_Channel[[#This Row],[Query]]="",
      "Empty",
      "Defined"
   )
)</f>
        <v/>
      </c>
      <c r="Q587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587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587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58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587" s="20" t="str">
        <f>IF(
   T_Channel[[#This Row],[Check]]&lt;&gt;"OK",
   "",
   T_Channel[[#This Row],[ChannelSymbol]] &amp; ".evtx"
)</f>
        <v/>
      </c>
      <c r="V587" s="20" t="str">
        <f>IF(
   T_Channel[[#This Row],[Check]]&lt;&gt;"OK",
   "",
   T_Channel[[#This Row],[LogFolder]] &amp; "\" &amp; T_Channel[[#This Row],[LogFile]]
)</f>
        <v/>
      </c>
      <c r="W587" s="20" t="str">
        <f>IF(
   T_Channel[[#This Row],[Safekeeping of logs]]="",
   "",
   VLOOKUP(T_Channel[[#This Row],[Safekeeping of logs]],T_List_LogMode[],2,FALSE)
)</f>
        <v/>
      </c>
      <c r="X587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588" spans="2:24" x14ac:dyDescent="0.45">
      <c r="B588" s="7"/>
      <c r="C588" s="7"/>
      <c r="D588" s="7"/>
      <c r="E588" s="7"/>
      <c r="F588" s="6"/>
      <c r="G588" s="6"/>
      <c r="H588" s="6"/>
      <c r="I588" s="6"/>
      <c r="J588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588" s="21"/>
      <c r="L588" s="7"/>
      <c r="M588" s="41"/>
      <c r="N588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588" s="26" t="str">
        <f>IF(
   T_Channel[[#This Row],[ProviderName]]="",
   "",
   COUNTIF($N$12:$N$9982,T_Channel[[#This Row],[ProviderName]])
)</f>
        <v/>
      </c>
      <c r="P588" s="26" t="str">
        <f>IF(
   T_Channel[[#This Row],[Check]]&lt;&gt;"OK",
   "",
   IF(
      T_Channel[[#This Row],[Query]]="",
      "Empty",
      "Defined"
   )
)</f>
        <v/>
      </c>
      <c r="Q588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588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588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58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588" s="20" t="str">
        <f>IF(
   T_Channel[[#This Row],[Check]]&lt;&gt;"OK",
   "",
   T_Channel[[#This Row],[ChannelSymbol]] &amp; ".evtx"
)</f>
        <v/>
      </c>
      <c r="V588" s="20" t="str">
        <f>IF(
   T_Channel[[#This Row],[Check]]&lt;&gt;"OK",
   "",
   T_Channel[[#This Row],[LogFolder]] &amp; "\" &amp; T_Channel[[#This Row],[LogFile]]
)</f>
        <v/>
      </c>
      <c r="W588" s="20" t="str">
        <f>IF(
   T_Channel[[#This Row],[Safekeeping of logs]]="",
   "",
   VLOOKUP(T_Channel[[#This Row],[Safekeeping of logs]],T_List_LogMode[],2,FALSE)
)</f>
        <v/>
      </c>
      <c r="X588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589" spans="2:24" x14ac:dyDescent="0.45">
      <c r="B589" s="7"/>
      <c r="C589" s="7"/>
      <c r="D589" s="7"/>
      <c r="E589" s="7"/>
      <c r="F589" s="6"/>
      <c r="G589" s="6"/>
      <c r="H589" s="6"/>
      <c r="I589" s="6"/>
      <c r="J589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589" s="21"/>
      <c r="L589" s="7"/>
      <c r="M589" s="41"/>
      <c r="N589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589" s="26" t="str">
        <f>IF(
   T_Channel[[#This Row],[ProviderName]]="",
   "",
   COUNTIF($N$12:$N$9982,T_Channel[[#This Row],[ProviderName]])
)</f>
        <v/>
      </c>
      <c r="P589" s="26" t="str">
        <f>IF(
   T_Channel[[#This Row],[Check]]&lt;&gt;"OK",
   "",
   IF(
      T_Channel[[#This Row],[Query]]="",
      "Empty",
      "Defined"
   )
)</f>
        <v/>
      </c>
      <c r="Q589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589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589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58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589" s="20" t="str">
        <f>IF(
   T_Channel[[#This Row],[Check]]&lt;&gt;"OK",
   "",
   T_Channel[[#This Row],[ChannelSymbol]] &amp; ".evtx"
)</f>
        <v/>
      </c>
      <c r="V589" s="20" t="str">
        <f>IF(
   T_Channel[[#This Row],[Check]]&lt;&gt;"OK",
   "",
   T_Channel[[#This Row],[LogFolder]] &amp; "\" &amp; T_Channel[[#This Row],[LogFile]]
)</f>
        <v/>
      </c>
      <c r="W589" s="20" t="str">
        <f>IF(
   T_Channel[[#This Row],[Safekeeping of logs]]="",
   "",
   VLOOKUP(T_Channel[[#This Row],[Safekeeping of logs]],T_List_LogMode[],2,FALSE)
)</f>
        <v/>
      </c>
      <c r="X589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590" spans="2:24" x14ac:dyDescent="0.45">
      <c r="B590" s="7"/>
      <c r="C590" s="7"/>
      <c r="D590" s="7"/>
      <c r="E590" s="7"/>
      <c r="F590" s="6"/>
      <c r="G590" s="6"/>
      <c r="H590" s="6"/>
      <c r="I590" s="6"/>
      <c r="J590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590" s="21"/>
      <c r="L590" s="7"/>
      <c r="M590" s="41"/>
      <c r="N590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590" s="26" t="str">
        <f>IF(
   T_Channel[[#This Row],[ProviderName]]="",
   "",
   COUNTIF($N$12:$N$9982,T_Channel[[#This Row],[ProviderName]])
)</f>
        <v/>
      </c>
      <c r="P590" s="26" t="str">
        <f>IF(
   T_Channel[[#This Row],[Check]]&lt;&gt;"OK",
   "",
   IF(
      T_Channel[[#This Row],[Query]]="",
      "Empty",
      "Defined"
   )
)</f>
        <v/>
      </c>
      <c r="Q590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590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590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59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590" s="20" t="str">
        <f>IF(
   T_Channel[[#This Row],[Check]]&lt;&gt;"OK",
   "",
   T_Channel[[#This Row],[ChannelSymbol]] &amp; ".evtx"
)</f>
        <v/>
      </c>
      <c r="V590" s="20" t="str">
        <f>IF(
   T_Channel[[#This Row],[Check]]&lt;&gt;"OK",
   "",
   T_Channel[[#This Row],[LogFolder]] &amp; "\" &amp; T_Channel[[#This Row],[LogFile]]
)</f>
        <v/>
      </c>
      <c r="W590" s="20" t="str">
        <f>IF(
   T_Channel[[#This Row],[Safekeeping of logs]]="",
   "",
   VLOOKUP(T_Channel[[#This Row],[Safekeeping of logs]],T_List_LogMode[],2,FALSE)
)</f>
        <v/>
      </c>
      <c r="X590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591" spans="2:24" x14ac:dyDescent="0.45">
      <c r="B591" s="7"/>
      <c r="C591" s="7"/>
      <c r="D591" s="7"/>
      <c r="E591" s="7"/>
      <c r="F591" s="6"/>
      <c r="G591" s="6"/>
      <c r="H591" s="6"/>
      <c r="I591" s="6"/>
      <c r="J591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591" s="21"/>
      <c r="L591" s="7"/>
      <c r="M591" s="41"/>
      <c r="N591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591" s="26" t="str">
        <f>IF(
   T_Channel[[#This Row],[ProviderName]]="",
   "",
   COUNTIF($N$12:$N$9982,T_Channel[[#This Row],[ProviderName]])
)</f>
        <v/>
      </c>
      <c r="P591" s="26" t="str">
        <f>IF(
   T_Channel[[#This Row],[Check]]&lt;&gt;"OK",
   "",
   IF(
      T_Channel[[#This Row],[Query]]="",
      "Empty",
      "Defined"
   )
)</f>
        <v/>
      </c>
      <c r="Q591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591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591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59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591" s="20" t="str">
        <f>IF(
   T_Channel[[#This Row],[Check]]&lt;&gt;"OK",
   "",
   T_Channel[[#This Row],[ChannelSymbol]] &amp; ".evtx"
)</f>
        <v/>
      </c>
      <c r="V591" s="20" t="str">
        <f>IF(
   T_Channel[[#This Row],[Check]]&lt;&gt;"OK",
   "",
   T_Channel[[#This Row],[LogFolder]] &amp; "\" &amp; T_Channel[[#This Row],[LogFile]]
)</f>
        <v/>
      </c>
      <c r="W591" s="20" t="str">
        <f>IF(
   T_Channel[[#This Row],[Safekeeping of logs]]="",
   "",
   VLOOKUP(T_Channel[[#This Row],[Safekeeping of logs]],T_List_LogMode[],2,FALSE)
)</f>
        <v/>
      </c>
      <c r="X591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592" spans="2:24" x14ac:dyDescent="0.45">
      <c r="B592" s="7"/>
      <c r="C592" s="7"/>
      <c r="D592" s="7"/>
      <c r="E592" s="7"/>
      <c r="F592" s="6"/>
      <c r="G592" s="6"/>
      <c r="H592" s="6"/>
      <c r="I592" s="6"/>
      <c r="J592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592" s="21"/>
      <c r="L592" s="7"/>
      <c r="M592" s="41"/>
      <c r="N592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592" s="26" t="str">
        <f>IF(
   T_Channel[[#This Row],[ProviderName]]="",
   "",
   COUNTIF($N$12:$N$9982,T_Channel[[#This Row],[ProviderName]])
)</f>
        <v/>
      </c>
      <c r="P592" s="26" t="str">
        <f>IF(
   T_Channel[[#This Row],[Check]]&lt;&gt;"OK",
   "",
   IF(
      T_Channel[[#This Row],[Query]]="",
      "Empty",
      "Defined"
   )
)</f>
        <v/>
      </c>
      <c r="Q592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592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592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59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592" s="20" t="str">
        <f>IF(
   T_Channel[[#This Row],[Check]]&lt;&gt;"OK",
   "",
   T_Channel[[#This Row],[ChannelSymbol]] &amp; ".evtx"
)</f>
        <v/>
      </c>
      <c r="V592" s="20" t="str">
        <f>IF(
   T_Channel[[#This Row],[Check]]&lt;&gt;"OK",
   "",
   T_Channel[[#This Row],[LogFolder]] &amp; "\" &amp; T_Channel[[#This Row],[LogFile]]
)</f>
        <v/>
      </c>
      <c r="W592" s="20" t="str">
        <f>IF(
   T_Channel[[#This Row],[Safekeeping of logs]]="",
   "",
   VLOOKUP(T_Channel[[#This Row],[Safekeeping of logs]],T_List_LogMode[],2,FALSE)
)</f>
        <v/>
      </c>
      <c r="X592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593" spans="2:24" x14ac:dyDescent="0.45">
      <c r="B593" s="7"/>
      <c r="C593" s="7"/>
      <c r="D593" s="7"/>
      <c r="E593" s="7"/>
      <c r="F593" s="6"/>
      <c r="G593" s="6"/>
      <c r="H593" s="6"/>
      <c r="I593" s="6"/>
      <c r="J593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593" s="21"/>
      <c r="L593" s="7"/>
      <c r="M593" s="41"/>
      <c r="N593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593" s="26" t="str">
        <f>IF(
   T_Channel[[#This Row],[ProviderName]]="",
   "",
   COUNTIF($N$12:$N$9982,T_Channel[[#This Row],[ProviderName]])
)</f>
        <v/>
      </c>
      <c r="P593" s="26" t="str">
        <f>IF(
   T_Channel[[#This Row],[Check]]&lt;&gt;"OK",
   "",
   IF(
      T_Channel[[#This Row],[Query]]="",
      "Empty",
      "Defined"
   )
)</f>
        <v/>
      </c>
      <c r="Q593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593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593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59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593" s="20" t="str">
        <f>IF(
   T_Channel[[#This Row],[Check]]&lt;&gt;"OK",
   "",
   T_Channel[[#This Row],[ChannelSymbol]] &amp; ".evtx"
)</f>
        <v/>
      </c>
      <c r="V593" s="20" t="str">
        <f>IF(
   T_Channel[[#This Row],[Check]]&lt;&gt;"OK",
   "",
   T_Channel[[#This Row],[LogFolder]] &amp; "\" &amp; T_Channel[[#This Row],[LogFile]]
)</f>
        <v/>
      </c>
      <c r="W593" s="20" t="str">
        <f>IF(
   T_Channel[[#This Row],[Safekeeping of logs]]="",
   "",
   VLOOKUP(T_Channel[[#This Row],[Safekeeping of logs]],T_List_LogMode[],2,FALSE)
)</f>
        <v/>
      </c>
      <c r="X593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594" spans="2:24" x14ac:dyDescent="0.45">
      <c r="B594" s="7"/>
      <c r="C594" s="7"/>
      <c r="D594" s="7"/>
      <c r="E594" s="7"/>
      <c r="F594" s="6"/>
      <c r="G594" s="6"/>
      <c r="H594" s="6"/>
      <c r="I594" s="6"/>
      <c r="J594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594" s="21"/>
      <c r="L594" s="7"/>
      <c r="M594" s="41"/>
      <c r="N594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594" s="26" t="str">
        <f>IF(
   T_Channel[[#This Row],[ProviderName]]="",
   "",
   COUNTIF($N$12:$N$9982,T_Channel[[#This Row],[ProviderName]])
)</f>
        <v/>
      </c>
      <c r="P594" s="26" t="str">
        <f>IF(
   T_Channel[[#This Row],[Check]]&lt;&gt;"OK",
   "",
   IF(
      T_Channel[[#This Row],[Query]]="",
      "Empty",
      "Defined"
   )
)</f>
        <v/>
      </c>
      <c r="Q594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594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594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59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594" s="20" t="str">
        <f>IF(
   T_Channel[[#This Row],[Check]]&lt;&gt;"OK",
   "",
   T_Channel[[#This Row],[ChannelSymbol]] &amp; ".evtx"
)</f>
        <v/>
      </c>
      <c r="V594" s="20" t="str">
        <f>IF(
   T_Channel[[#This Row],[Check]]&lt;&gt;"OK",
   "",
   T_Channel[[#This Row],[LogFolder]] &amp; "\" &amp; T_Channel[[#This Row],[LogFile]]
)</f>
        <v/>
      </c>
      <c r="W594" s="20" t="str">
        <f>IF(
   T_Channel[[#This Row],[Safekeeping of logs]]="",
   "",
   VLOOKUP(T_Channel[[#This Row],[Safekeeping of logs]],T_List_LogMode[],2,FALSE)
)</f>
        <v/>
      </c>
      <c r="X594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595" spans="2:24" x14ac:dyDescent="0.45">
      <c r="B595" s="7"/>
      <c r="C595" s="7"/>
      <c r="D595" s="7"/>
      <c r="E595" s="7"/>
      <c r="F595" s="6"/>
      <c r="G595" s="6"/>
      <c r="H595" s="6"/>
      <c r="I595" s="6"/>
      <c r="J595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595" s="21"/>
      <c r="L595" s="7"/>
      <c r="M595" s="41"/>
      <c r="N595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595" s="26" t="str">
        <f>IF(
   T_Channel[[#This Row],[ProviderName]]="",
   "",
   COUNTIF($N$12:$N$9982,T_Channel[[#This Row],[ProviderName]])
)</f>
        <v/>
      </c>
      <c r="P595" s="26" t="str">
        <f>IF(
   T_Channel[[#This Row],[Check]]&lt;&gt;"OK",
   "",
   IF(
      T_Channel[[#This Row],[Query]]="",
      "Empty",
      "Defined"
   )
)</f>
        <v/>
      </c>
      <c r="Q595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595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595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59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595" s="20" t="str">
        <f>IF(
   T_Channel[[#This Row],[Check]]&lt;&gt;"OK",
   "",
   T_Channel[[#This Row],[ChannelSymbol]] &amp; ".evtx"
)</f>
        <v/>
      </c>
      <c r="V595" s="20" t="str">
        <f>IF(
   T_Channel[[#This Row],[Check]]&lt;&gt;"OK",
   "",
   T_Channel[[#This Row],[LogFolder]] &amp; "\" &amp; T_Channel[[#This Row],[LogFile]]
)</f>
        <v/>
      </c>
      <c r="W595" s="20" t="str">
        <f>IF(
   T_Channel[[#This Row],[Safekeeping of logs]]="",
   "",
   VLOOKUP(T_Channel[[#This Row],[Safekeeping of logs]],T_List_LogMode[],2,FALSE)
)</f>
        <v/>
      </c>
      <c r="X595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596" spans="2:24" x14ac:dyDescent="0.45">
      <c r="B596" s="7"/>
      <c r="C596" s="7"/>
      <c r="D596" s="7"/>
      <c r="E596" s="7"/>
      <c r="F596" s="6"/>
      <c r="G596" s="6"/>
      <c r="H596" s="6"/>
      <c r="I596" s="6"/>
      <c r="J596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596" s="21"/>
      <c r="L596" s="7"/>
      <c r="M596" s="41"/>
      <c r="N596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596" s="26" t="str">
        <f>IF(
   T_Channel[[#This Row],[ProviderName]]="",
   "",
   COUNTIF($N$12:$N$9982,T_Channel[[#This Row],[ProviderName]])
)</f>
        <v/>
      </c>
      <c r="P596" s="26" t="str">
        <f>IF(
   T_Channel[[#This Row],[Check]]&lt;&gt;"OK",
   "",
   IF(
      T_Channel[[#This Row],[Query]]="",
      "Empty",
      "Defined"
   )
)</f>
        <v/>
      </c>
      <c r="Q596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596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596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59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596" s="20" t="str">
        <f>IF(
   T_Channel[[#This Row],[Check]]&lt;&gt;"OK",
   "",
   T_Channel[[#This Row],[ChannelSymbol]] &amp; ".evtx"
)</f>
        <v/>
      </c>
      <c r="V596" s="20" t="str">
        <f>IF(
   T_Channel[[#This Row],[Check]]&lt;&gt;"OK",
   "",
   T_Channel[[#This Row],[LogFolder]] &amp; "\" &amp; T_Channel[[#This Row],[LogFile]]
)</f>
        <v/>
      </c>
      <c r="W596" s="20" t="str">
        <f>IF(
   T_Channel[[#This Row],[Safekeeping of logs]]="",
   "",
   VLOOKUP(T_Channel[[#This Row],[Safekeeping of logs]],T_List_LogMode[],2,FALSE)
)</f>
        <v/>
      </c>
      <c r="X596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597" spans="2:24" x14ac:dyDescent="0.45">
      <c r="B597" s="7"/>
      <c r="C597" s="7"/>
      <c r="D597" s="7"/>
      <c r="E597" s="7"/>
      <c r="F597" s="6"/>
      <c r="G597" s="6"/>
      <c r="H597" s="6"/>
      <c r="I597" s="6"/>
      <c r="J597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597" s="21"/>
      <c r="L597" s="7"/>
      <c r="M597" s="41"/>
      <c r="N597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597" s="26" t="str">
        <f>IF(
   T_Channel[[#This Row],[ProviderName]]="",
   "",
   COUNTIF($N$12:$N$9982,T_Channel[[#This Row],[ProviderName]])
)</f>
        <v/>
      </c>
      <c r="P597" s="26" t="str">
        <f>IF(
   T_Channel[[#This Row],[Check]]&lt;&gt;"OK",
   "",
   IF(
      T_Channel[[#This Row],[Query]]="",
      "Empty",
      "Defined"
   )
)</f>
        <v/>
      </c>
      <c r="Q597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597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597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59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597" s="20" t="str">
        <f>IF(
   T_Channel[[#This Row],[Check]]&lt;&gt;"OK",
   "",
   T_Channel[[#This Row],[ChannelSymbol]] &amp; ".evtx"
)</f>
        <v/>
      </c>
      <c r="V597" s="20" t="str">
        <f>IF(
   T_Channel[[#This Row],[Check]]&lt;&gt;"OK",
   "",
   T_Channel[[#This Row],[LogFolder]] &amp; "\" &amp; T_Channel[[#This Row],[LogFile]]
)</f>
        <v/>
      </c>
      <c r="W597" s="20" t="str">
        <f>IF(
   T_Channel[[#This Row],[Safekeeping of logs]]="",
   "",
   VLOOKUP(T_Channel[[#This Row],[Safekeeping of logs]],T_List_LogMode[],2,FALSE)
)</f>
        <v/>
      </c>
      <c r="X597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598" spans="2:24" x14ac:dyDescent="0.45">
      <c r="B598" s="7"/>
      <c r="C598" s="7"/>
      <c r="D598" s="7"/>
      <c r="E598" s="7"/>
      <c r="F598" s="6"/>
      <c r="G598" s="6"/>
      <c r="H598" s="6"/>
      <c r="I598" s="6"/>
      <c r="J598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598" s="21"/>
      <c r="L598" s="7"/>
      <c r="M598" s="41"/>
      <c r="N598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598" s="26" t="str">
        <f>IF(
   T_Channel[[#This Row],[ProviderName]]="",
   "",
   COUNTIF($N$12:$N$9982,T_Channel[[#This Row],[ProviderName]])
)</f>
        <v/>
      </c>
      <c r="P598" s="26" t="str">
        <f>IF(
   T_Channel[[#This Row],[Check]]&lt;&gt;"OK",
   "",
   IF(
      T_Channel[[#This Row],[Query]]="",
      "Empty",
      "Defined"
   )
)</f>
        <v/>
      </c>
      <c r="Q598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598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598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59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598" s="20" t="str">
        <f>IF(
   T_Channel[[#This Row],[Check]]&lt;&gt;"OK",
   "",
   T_Channel[[#This Row],[ChannelSymbol]] &amp; ".evtx"
)</f>
        <v/>
      </c>
      <c r="V598" s="20" t="str">
        <f>IF(
   T_Channel[[#This Row],[Check]]&lt;&gt;"OK",
   "",
   T_Channel[[#This Row],[LogFolder]] &amp; "\" &amp; T_Channel[[#This Row],[LogFile]]
)</f>
        <v/>
      </c>
      <c r="W598" s="20" t="str">
        <f>IF(
   T_Channel[[#This Row],[Safekeeping of logs]]="",
   "",
   VLOOKUP(T_Channel[[#This Row],[Safekeeping of logs]],T_List_LogMode[],2,FALSE)
)</f>
        <v/>
      </c>
      <c r="X598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599" spans="2:24" x14ac:dyDescent="0.45">
      <c r="B599" s="7"/>
      <c r="C599" s="7"/>
      <c r="D599" s="7"/>
      <c r="E599" s="7"/>
      <c r="F599" s="6"/>
      <c r="G599" s="6"/>
      <c r="H599" s="6"/>
      <c r="I599" s="6"/>
      <c r="J599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599" s="21"/>
      <c r="L599" s="7"/>
      <c r="M599" s="41"/>
      <c r="N599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599" s="26" t="str">
        <f>IF(
   T_Channel[[#This Row],[ProviderName]]="",
   "",
   COUNTIF($N$12:$N$9982,T_Channel[[#This Row],[ProviderName]])
)</f>
        <v/>
      </c>
      <c r="P599" s="26" t="str">
        <f>IF(
   T_Channel[[#This Row],[Check]]&lt;&gt;"OK",
   "",
   IF(
      T_Channel[[#This Row],[Query]]="",
      "Empty",
      "Defined"
   )
)</f>
        <v/>
      </c>
      <c r="Q599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599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599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59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599" s="20" t="str">
        <f>IF(
   T_Channel[[#This Row],[Check]]&lt;&gt;"OK",
   "",
   T_Channel[[#This Row],[ChannelSymbol]] &amp; ".evtx"
)</f>
        <v/>
      </c>
      <c r="V599" s="20" t="str">
        <f>IF(
   T_Channel[[#This Row],[Check]]&lt;&gt;"OK",
   "",
   T_Channel[[#This Row],[LogFolder]] &amp; "\" &amp; T_Channel[[#This Row],[LogFile]]
)</f>
        <v/>
      </c>
      <c r="W599" s="20" t="str">
        <f>IF(
   T_Channel[[#This Row],[Safekeeping of logs]]="",
   "",
   VLOOKUP(T_Channel[[#This Row],[Safekeeping of logs]],T_List_LogMode[],2,FALSE)
)</f>
        <v/>
      </c>
      <c r="X599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600" spans="2:24" x14ac:dyDescent="0.45">
      <c r="B600" s="7"/>
      <c r="C600" s="7"/>
      <c r="D600" s="7"/>
      <c r="E600" s="7"/>
      <c r="F600" s="6"/>
      <c r="G600" s="6"/>
      <c r="H600" s="6"/>
      <c r="I600" s="6"/>
      <c r="J600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600" s="21"/>
      <c r="L600" s="7"/>
      <c r="M600" s="41"/>
      <c r="N600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600" s="26" t="str">
        <f>IF(
   T_Channel[[#This Row],[ProviderName]]="",
   "",
   COUNTIF($N$12:$N$9982,T_Channel[[#This Row],[ProviderName]])
)</f>
        <v/>
      </c>
      <c r="P600" s="26" t="str">
        <f>IF(
   T_Channel[[#This Row],[Check]]&lt;&gt;"OK",
   "",
   IF(
      T_Channel[[#This Row],[Query]]="",
      "Empty",
      "Defined"
   )
)</f>
        <v/>
      </c>
      <c r="Q600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600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600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60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600" s="20" t="str">
        <f>IF(
   T_Channel[[#This Row],[Check]]&lt;&gt;"OK",
   "",
   T_Channel[[#This Row],[ChannelSymbol]] &amp; ".evtx"
)</f>
        <v/>
      </c>
      <c r="V600" s="20" t="str">
        <f>IF(
   T_Channel[[#This Row],[Check]]&lt;&gt;"OK",
   "",
   T_Channel[[#This Row],[LogFolder]] &amp; "\" &amp; T_Channel[[#This Row],[LogFile]]
)</f>
        <v/>
      </c>
      <c r="W600" s="20" t="str">
        <f>IF(
   T_Channel[[#This Row],[Safekeeping of logs]]="",
   "",
   VLOOKUP(T_Channel[[#This Row],[Safekeeping of logs]],T_List_LogMode[],2,FALSE)
)</f>
        <v/>
      </c>
      <c r="X600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601" spans="2:24" x14ac:dyDescent="0.45">
      <c r="B601" s="7"/>
      <c r="C601" s="7"/>
      <c r="D601" s="7"/>
      <c r="E601" s="7"/>
      <c r="F601" s="6"/>
      <c r="G601" s="6"/>
      <c r="H601" s="6"/>
      <c r="I601" s="6"/>
      <c r="J601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601" s="21"/>
      <c r="L601" s="7"/>
      <c r="M601" s="41"/>
      <c r="N601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601" s="26" t="str">
        <f>IF(
   T_Channel[[#This Row],[ProviderName]]="",
   "",
   COUNTIF($N$12:$N$9982,T_Channel[[#This Row],[ProviderName]])
)</f>
        <v/>
      </c>
      <c r="P601" s="26" t="str">
        <f>IF(
   T_Channel[[#This Row],[Check]]&lt;&gt;"OK",
   "",
   IF(
      T_Channel[[#This Row],[Query]]="",
      "Empty",
      "Defined"
   )
)</f>
        <v/>
      </c>
      <c r="Q601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601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601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60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601" s="20" t="str">
        <f>IF(
   T_Channel[[#This Row],[Check]]&lt;&gt;"OK",
   "",
   T_Channel[[#This Row],[ChannelSymbol]] &amp; ".evtx"
)</f>
        <v/>
      </c>
      <c r="V601" s="20" t="str">
        <f>IF(
   T_Channel[[#This Row],[Check]]&lt;&gt;"OK",
   "",
   T_Channel[[#This Row],[LogFolder]] &amp; "\" &amp; T_Channel[[#This Row],[LogFile]]
)</f>
        <v/>
      </c>
      <c r="W601" s="20" t="str">
        <f>IF(
   T_Channel[[#This Row],[Safekeeping of logs]]="",
   "",
   VLOOKUP(T_Channel[[#This Row],[Safekeeping of logs]],T_List_LogMode[],2,FALSE)
)</f>
        <v/>
      </c>
      <c r="X601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602" spans="2:24" x14ac:dyDescent="0.45">
      <c r="B602" s="7"/>
      <c r="C602" s="7"/>
      <c r="D602" s="7"/>
      <c r="E602" s="7"/>
      <c r="F602" s="6"/>
      <c r="G602" s="6"/>
      <c r="H602" s="6"/>
      <c r="I602" s="6"/>
      <c r="J602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602" s="21"/>
      <c r="L602" s="7"/>
      <c r="M602" s="41"/>
      <c r="N602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602" s="26" t="str">
        <f>IF(
   T_Channel[[#This Row],[ProviderName]]="",
   "",
   COUNTIF($N$12:$N$9982,T_Channel[[#This Row],[ProviderName]])
)</f>
        <v/>
      </c>
      <c r="P602" s="26" t="str">
        <f>IF(
   T_Channel[[#This Row],[Check]]&lt;&gt;"OK",
   "",
   IF(
      T_Channel[[#This Row],[Query]]="",
      "Empty",
      "Defined"
   )
)</f>
        <v/>
      </c>
      <c r="Q602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602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602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60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602" s="20" t="str">
        <f>IF(
   T_Channel[[#This Row],[Check]]&lt;&gt;"OK",
   "",
   T_Channel[[#This Row],[ChannelSymbol]] &amp; ".evtx"
)</f>
        <v/>
      </c>
      <c r="V602" s="20" t="str">
        <f>IF(
   T_Channel[[#This Row],[Check]]&lt;&gt;"OK",
   "",
   T_Channel[[#This Row],[LogFolder]] &amp; "\" &amp; T_Channel[[#This Row],[LogFile]]
)</f>
        <v/>
      </c>
      <c r="W602" s="20" t="str">
        <f>IF(
   T_Channel[[#This Row],[Safekeeping of logs]]="",
   "",
   VLOOKUP(T_Channel[[#This Row],[Safekeeping of logs]],T_List_LogMode[],2,FALSE)
)</f>
        <v/>
      </c>
      <c r="X602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603" spans="2:24" x14ac:dyDescent="0.45">
      <c r="B603" s="7"/>
      <c r="C603" s="7"/>
      <c r="D603" s="7"/>
      <c r="E603" s="7"/>
      <c r="F603" s="6"/>
      <c r="G603" s="6"/>
      <c r="H603" s="6"/>
      <c r="I603" s="6"/>
      <c r="J603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603" s="21"/>
      <c r="L603" s="7"/>
      <c r="M603" s="41"/>
      <c r="N603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603" s="26" t="str">
        <f>IF(
   T_Channel[[#This Row],[ProviderName]]="",
   "",
   COUNTIF($N$12:$N$9982,T_Channel[[#This Row],[ProviderName]])
)</f>
        <v/>
      </c>
      <c r="P603" s="26" t="str">
        <f>IF(
   T_Channel[[#This Row],[Check]]&lt;&gt;"OK",
   "",
   IF(
      T_Channel[[#This Row],[Query]]="",
      "Empty",
      "Defined"
   )
)</f>
        <v/>
      </c>
      <c r="Q603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603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603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60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603" s="20" t="str">
        <f>IF(
   T_Channel[[#This Row],[Check]]&lt;&gt;"OK",
   "",
   T_Channel[[#This Row],[ChannelSymbol]] &amp; ".evtx"
)</f>
        <v/>
      </c>
      <c r="V603" s="20" t="str">
        <f>IF(
   T_Channel[[#This Row],[Check]]&lt;&gt;"OK",
   "",
   T_Channel[[#This Row],[LogFolder]] &amp; "\" &amp; T_Channel[[#This Row],[LogFile]]
)</f>
        <v/>
      </c>
      <c r="W603" s="20" t="str">
        <f>IF(
   T_Channel[[#This Row],[Safekeeping of logs]]="",
   "",
   VLOOKUP(T_Channel[[#This Row],[Safekeeping of logs]],T_List_LogMode[],2,FALSE)
)</f>
        <v/>
      </c>
      <c r="X603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604" spans="2:24" x14ac:dyDescent="0.45">
      <c r="B604" s="7"/>
      <c r="C604" s="7"/>
      <c r="D604" s="7"/>
      <c r="E604" s="7"/>
      <c r="F604" s="6"/>
      <c r="G604" s="6"/>
      <c r="H604" s="6"/>
      <c r="I604" s="6"/>
      <c r="J604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604" s="21"/>
      <c r="L604" s="7"/>
      <c r="M604" s="41"/>
      <c r="N604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604" s="26" t="str">
        <f>IF(
   T_Channel[[#This Row],[ProviderName]]="",
   "",
   COUNTIF($N$12:$N$9982,T_Channel[[#This Row],[ProviderName]])
)</f>
        <v/>
      </c>
      <c r="P604" s="26" t="str">
        <f>IF(
   T_Channel[[#This Row],[Check]]&lt;&gt;"OK",
   "",
   IF(
      T_Channel[[#This Row],[Query]]="",
      "Empty",
      "Defined"
   )
)</f>
        <v/>
      </c>
      <c r="Q604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604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604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60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604" s="20" t="str">
        <f>IF(
   T_Channel[[#This Row],[Check]]&lt;&gt;"OK",
   "",
   T_Channel[[#This Row],[ChannelSymbol]] &amp; ".evtx"
)</f>
        <v/>
      </c>
      <c r="V604" s="20" t="str">
        <f>IF(
   T_Channel[[#This Row],[Check]]&lt;&gt;"OK",
   "",
   T_Channel[[#This Row],[LogFolder]] &amp; "\" &amp; T_Channel[[#This Row],[LogFile]]
)</f>
        <v/>
      </c>
      <c r="W604" s="20" t="str">
        <f>IF(
   T_Channel[[#This Row],[Safekeeping of logs]]="",
   "",
   VLOOKUP(T_Channel[[#This Row],[Safekeeping of logs]],T_List_LogMode[],2,FALSE)
)</f>
        <v/>
      </c>
      <c r="X604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605" spans="2:24" x14ac:dyDescent="0.45">
      <c r="B605" s="7"/>
      <c r="C605" s="7"/>
      <c r="D605" s="7"/>
      <c r="E605" s="7"/>
      <c r="F605" s="6"/>
      <c r="G605" s="6"/>
      <c r="H605" s="6"/>
      <c r="I605" s="6"/>
      <c r="J605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605" s="21"/>
      <c r="L605" s="7"/>
      <c r="M605" s="41"/>
      <c r="N605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605" s="26" t="str">
        <f>IF(
   T_Channel[[#This Row],[ProviderName]]="",
   "",
   COUNTIF($N$12:$N$9982,T_Channel[[#This Row],[ProviderName]])
)</f>
        <v/>
      </c>
      <c r="P605" s="26" t="str">
        <f>IF(
   T_Channel[[#This Row],[Check]]&lt;&gt;"OK",
   "",
   IF(
      T_Channel[[#This Row],[Query]]="",
      "Empty",
      "Defined"
   )
)</f>
        <v/>
      </c>
      <c r="Q605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605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605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60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605" s="20" t="str">
        <f>IF(
   T_Channel[[#This Row],[Check]]&lt;&gt;"OK",
   "",
   T_Channel[[#This Row],[ChannelSymbol]] &amp; ".evtx"
)</f>
        <v/>
      </c>
      <c r="V605" s="20" t="str">
        <f>IF(
   T_Channel[[#This Row],[Check]]&lt;&gt;"OK",
   "",
   T_Channel[[#This Row],[LogFolder]] &amp; "\" &amp; T_Channel[[#This Row],[LogFile]]
)</f>
        <v/>
      </c>
      <c r="W605" s="20" t="str">
        <f>IF(
   T_Channel[[#This Row],[Safekeeping of logs]]="",
   "",
   VLOOKUP(T_Channel[[#This Row],[Safekeeping of logs]],T_List_LogMode[],2,FALSE)
)</f>
        <v/>
      </c>
      <c r="X605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606" spans="2:24" x14ac:dyDescent="0.45">
      <c r="B606" s="7"/>
      <c r="C606" s="7"/>
      <c r="D606" s="7"/>
      <c r="E606" s="7"/>
      <c r="F606" s="6"/>
      <c r="G606" s="6"/>
      <c r="H606" s="6"/>
      <c r="I606" s="6"/>
      <c r="J606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606" s="21"/>
      <c r="L606" s="7"/>
      <c r="M606" s="41"/>
      <c r="N606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606" s="26" t="str">
        <f>IF(
   T_Channel[[#This Row],[ProviderName]]="",
   "",
   COUNTIF($N$12:$N$9982,T_Channel[[#This Row],[ProviderName]])
)</f>
        <v/>
      </c>
      <c r="P606" s="26" t="str">
        <f>IF(
   T_Channel[[#This Row],[Check]]&lt;&gt;"OK",
   "",
   IF(
      T_Channel[[#This Row],[Query]]="",
      "Empty",
      "Defined"
   )
)</f>
        <v/>
      </c>
      <c r="Q606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606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606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60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606" s="20" t="str">
        <f>IF(
   T_Channel[[#This Row],[Check]]&lt;&gt;"OK",
   "",
   T_Channel[[#This Row],[ChannelSymbol]] &amp; ".evtx"
)</f>
        <v/>
      </c>
      <c r="V606" s="20" t="str">
        <f>IF(
   T_Channel[[#This Row],[Check]]&lt;&gt;"OK",
   "",
   T_Channel[[#This Row],[LogFolder]] &amp; "\" &amp; T_Channel[[#This Row],[LogFile]]
)</f>
        <v/>
      </c>
      <c r="W606" s="20" t="str">
        <f>IF(
   T_Channel[[#This Row],[Safekeeping of logs]]="",
   "",
   VLOOKUP(T_Channel[[#This Row],[Safekeeping of logs]],T_List_LogMode[],2,FALSE)
)</f>
        <v/>
      </c>
      <c r="X606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607" spans="2:24" x14ac:dyDescent="0.45">
      <c r="B607" s="7"/>
      <c r="C607" s="7"/>
      <c r="D607" s="7"/>
      <c r="E607" s="7"/>
      <c r="F607" s="6"/>
      <c r="G607" s="6"/>
      <c r="H607" s="6"/>
      <c r="I607" s="6"/>
      <c r="J607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607" s="21"/>
      <c r="L607" s="7"/>
      <c r="M607" s="41"/>
      <c r="N607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607" s="26" t="str">
        <f>IF(
   T_Channel[[#This Row],[ProviderName]]="",
   "",
   COUNTIF($N$12:$N$9982,T_Channel[[#This Row],[ProviderName]])
)</f>
        <v/>
      </c>
      <c r="P607" s="26" t="str">
        <f>IF(
   T_Channel[[#This Row],[Check]]&lt;&gt;"OK",
   "",
   IF(
      T_Channel[[#This Row],[Query]]="",
      "Empty",
      "Defined"
   )
)</f>
        <v/>
      </c>
      <c r="Q607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607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607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60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607" s="20" t="str">
        <f>IF(
   T_Channel[[#This Row],[Check]]&lt;&gt;"OK",
   "",
   T_Channel[[#This Row],[ChannelSymbol]] &amp; ".evtx"
)</f>
        <v/>
      </c>
      <c r="V607" s="20" t="str">
        <f>IF(
   T_Channel[[#This Row],[Check]]&lt;&gt;"OK",
   "",
   T_Channel[[#This Row],[LogFolder]] &amp; "\" &amp; T_Channel[[#This Row],[LogFile]]
)</f>
        <v/>
      </c>
      <c r="W607" s="20" t="str">
        <f>IF(
   T_Channel[[#This Row],[Safekeeping of logs]]="",
   "",
   VLOOKUP(T_Channel[[#This Row],[Safekeeping of logs]],T_List_LogMode[],2,FALSE)
)</f>
        <v/>
      </c>
      <c r="X607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608" spans="2:24" x14ac:dyDescent="0.45">
      <c r="B608" s="7"/>
      <c r="C608" s="7"/>
      <c r="D608" s="7"/>
      <c r="E608" s="7"/>
      <c r="F608" s="6"/>
      <c r="G608" s="6"/>
      <c r="H608" s="6"/>
      <c r="I608" s="6"/>
      <c r="J608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608" s="21"/>
      <c r="L608" s="7"/>
      <c r="M608" s="41"/>
      <c r="N608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608" s="26" t="str">
        <f>IF(
   T_Channel[[#This Row],[ProviderName]]="",
   "",
   COUNTIF($N$12:$N$9982,T_Channel[[#This Row],[ProviderName]])
)</f>
        <v/>
      </c>
      <c r="P608" s="26" t="str">
        <f>IF(
   T_Channel[[#This Row],[Check]]&lt;&gt;"OK",
   "",
   IF(
      T_Channel[[#This Row],[Query]]="",
      "Empty",
      "Defined"
   )
)</f>
        <v/>
      </c>
      <c r="Q608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608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608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60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608" s="20" t="str">
        <f>IF(
   T_Channel[[#This Row],[Check]]&lt;&gt;"OK",
   "",
   T_Channel[[#This Row],[ChannelSymbol]] &amp; ".evtx"
)</f>
        <v/>
      </c>
      <c r="V608" s="20" t="str">
        <f>IF(
   T_Channel[[#This Row],[Check]]&lt;&gt;"OK",
   "",
   T_Channel[[#This Row],[LogFolder]] &amp; "\" &amp; T_Channel[[#This Row],[LogFile]]
)</f>
        <v/>
      </c>
      <c r="W608" s="20" t="str">
        <f>IF(
   T_Channel[[#This Row],[Safekeeping of logs]]="",
   "",
   VLOOKUP(T_Channel[[#This Row],[Safekeeping of logs]],T_List_LogMode[],2,FALSE)
)</f>
        <v/>
      </c>
      <c r="X608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609" spans="2:24" x14ac:dyDescent="0.45">
      <c r="B609" s="7"/>
      <c r="C609" s="7"/>
      <c r="D609" s="7"/>
      <c r="E609" s="7"/>
      <c r="F609" s="6"/>
      <c r="G609" s="6"/>
      <c r="H609" s="6"/>
      <c r="I609" s="6"/>
      <c r="J609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609" s="21"/>
      <c r="L609" s="7"/>
      <c r="M609" s="41"/>
      <c r="N609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609" s="26" t="str">
        <f>IF(
   T_Channel[[#This Row],[ProviderName]]="",
   "",
   COUNTIF($N$12:$N$9982,T_Channel[[#This Row],[ProviderName]])
)</f>
        <v/>
      </c>
      <c r="P609" s="26" t="str">
        <f>IF(
   T_Channel[[#This Row],[Check]]&lt;&gt;"OK",
   "",
   IF(
      T_Channel[[#This Row],[Query]]="",
      "Empty",
      "Defined"
   )
)</f>
        <v/>
      </c>
      <c r="Q609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609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609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60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609" s="20" t="str">
        <f>IF(
   T_Channel[[#This Row],[Check]]&lt;&gt;"OK",
   "",
   T_Channel[[#This Row],[ChannelSymbol]] &amp; ".evtx"
)</f>
        <v/>
      </c>
      <c r="V609" s="20" t="str">
        <f>IF(
   T_Channel[[#This Row],[Check]]&lt;&gt;"OK",
   "",
   T_Channel[[#This Row],[LogFolder]] &amp; "\" &amp; T_Channel[[#This Row],[LogFile]]
)</f>
        <v/>
      </c>
      <c r="W609" s="20" t="str">
        <f>IF(
   T_Channel[[#This Row],[Safekeeping of logs]]="",
   "",
   VLOOKUP(T_Channel[[#This Row],[Safekeeping of logs]],T_List_LogMode[],2,FALSE)
)</f>
        <v/>
      </c>
      <c r="X609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610" spans="2:24" x14ac:dyDescent="0.45">
      <c r="B610" s="7"/>
      <c r="C610" s="7"/>
      <c r="D610" s="7"/>
      <c r="E610" s="7"/>
      <c r="F610" s="6"/>
      <c r="G610" s="6"/>
      <c r="H610" s="6"/>
      <c r="I610" s="6"/>
      <c r="J610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610" s="21"/>
      <c r="L610" s="7"/>
      <c r="M610" s="41"/>
      <c r="N610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610" s="26" t="str">
        <f>IF(
   T_Channel[[#This Row],[ProviderName]]="",
   "",
   COUNTIF($N$12:$N$9982,T_Channel[[#This Row],[ProviderName]])
)</f>
        <v/>
      </c>
      <c r="P610" s="26" t="str">
        <f>IF(
   T_Channel[[#This Row],[Check]]&lt;&gt;"OK",
   "",
   IF(
      T_Channel[[#This Row],[Query]]="",
      "Empty",
      "Defined"
   )
)</f>
        <v/>
      </c>
      <c r="Q610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610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610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61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610" s="20" t="str">
        <f>IF(
   T_Channel[[#This Row],[Check]]&lt;&gt;"OK",
   "",
   T_Channel[[#This Row],[ChannelSymbol]] &amp; ".evtx"
)</f>
        <v/>
      </c>
      <c r="V610" s="20" t="str">
        <f>IF(
   T_Channel[[#This Row],[Check]]&lt;&gt;"OK",
   "",
   T_Channel[[#This Row],[LogFolder]] &amp; "\" &amp; T_Channel[[#This Row],[LogFile]]
)</f>
        <v/>
      </c>
      <c r="W610" s="20" t="str">
        <f>IF(
   T_Channel[[#This Row],[Safekeeping of logs]]="",
   "",
   VLOOKUP(T_Channel[[#This Row],[Safekeeping of logs]],T_List_LogMode[],2,FALSE)
)</f>
        <v/>
      </c>
      <c r="X610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611" spans="2:24" x14ac:dyDescent="0.45">
      <c r="B611" s="7"/>
      <c r="C611" s="7"/>
      <c r="D611" s="7"/>
      <c r="E611" s="7"/>
      <c r="F611" s="6"/>
      <c r="G611" s="6"/>
      <c r="H611" s="6"/>
      <c r="I611" s="6"/>
      <c r="J611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611" s="21"/>
      <c r="L611" s="7"/>
      <c r="M611" s="41"/>
      <c r="N611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611" s="26" t="str">
        <f>IF(
   T_Channel[[#This Row],[ProviderName]]="",
   "",
   COUNTIF($N$12:$N$9982,T_Channel[[#This Row],[ProviderName]])
)</f>
        <v/>
      </c>
      <c r="P611" s="26" t="str">
        <f>IF(
   T_Channel[[#This Row],[Check]]&lt;&gt;"OK",
   "",
   IF(
      T_Channel[[#This Row],[Query]]="",
      "Empty",
      "Defined"
   )
)</f>
        <v/>
      </c>
      <c r="Q611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611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611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61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611" s="20" t="str">
        <f>IF(
   T_Channel[[#This Row],[Check]]&lt;&gt;"OK",
   "",
   T_Channel[[#This Row],[ChannelSymbol]] &amp; ".evtx"
)</f>
        <v/>
      </c>
      <c r="V611" s="20" t="str">
        <f>IF(
   T_Channel[[#This Row],[Check]]&lt;&gt;"OK",
   "",
   T_Channel[[#This Row],[LogFolder]] &amp; "\" &amp; T_Channel[[#This Row],[LogFile]]
)</f>
        <v/>
      </c>
      <c r="W611" s="20" t="str">
        <f>IF(
   T_Channel[[#This Row],[Safekeeping of logs]]="",
   "",
   VLOOKUP(T_Channel[[#This Row],[Safekeeping of logs]],T_List_LogMode[],2,FALSE)
)</f>
        <v/>
      </c>
      <c r="X611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612" spans="2:24" x14ac:dyDescent="0.45">
      <c r="B612" s="7"/>
      <c r="C612" s="7"/>
      <c r="D612" s="7"/>
      <c r="E612" s="7"/>
      <c r="F612" s="6"/>
      <c r="G612" s="6"/>
      <c r="H612" s="6"/>
      <c r="I612" s="6"/>
      <c r="J612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612" s="21"/>
      <c r="L612" s="7"/>
      <c r="M612" s="41"/>
      <c r="N612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612" s="26" t="str">
        <f>IF(
   T_Channel[[#This Row],[ProviderName]]="",
   "",
   COUNTIF($N$12:$N$9982,T_Channel[[#This Row],[ProviderName]])
)</f>
        <v/>
      </c>
      <c r="P612" s="26" t="str">
        <f>IF(
   T_Channel[[#This Row],[Check]]&lt;&gt;"OK",
   "",
   IF(
      T_Channel[[#This Row],[Query]]="",
      "Empty",
      "Defined"
   )
)</f>
        <v/>
      </c>
      <c r="Q612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612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612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61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612" s="20" t="str">
        <f>IF(
   T_Channel[[#This Row],[Check]]&lt;&gt;"OK",
   "",
   T_Channel[[#This Row],[ChannelSymbol]] &amp; ".evtx"
)</f>
        <v/>
      </c>
      <c r="V612" s="20" t="str">
        <f>IF(
   T_Channel[[#This Row],[Check]]&lt;&gt;"OK",
   "",
   T_Channel[[#This Row],[LogFolder]] &amp; "\" &amp; T_Channel[[#This Row],[LogFile]]
)</f>
        <v/>
      </c>
      <c r="W612" s="20" t="str">
        <f>IF(
   T_Channel[[#This Row],[Safekeeping of logs]]="",
   "",
   VLOOKUP(T_Channel[[#This Row],[Safekeeping of logs]],T_List_LogMode[],2,FALSE)
)</f>
        <v/>
      </c>
      <c r="X612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613" spans="2:24" x14ac:dyDescent="0.45">
      <c r="B613" s="7"/>
      <c r="C613" s="7"/>
      <c r="D613" s="7"/>
      <c r="E613" s="7"/>
      <c r="F613" s="6"/>
      <c r="G613" s="6"/>
      <c r="H613" s="6"/>
      <c r="I613" s="6"/>
      <c r="J613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613" s="21"/>
      <c r="L613" s="7"/>
      <c r="M613" s="41"/>
      <c r="N613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613" s="26" t="str">
        <f>IF(
   T_Channel[[#This Row],[ProviderName]]="",
   "",
   COUNTIF($N$12:$N$9982,T_Channel[[#This Row],[ProviderName]])
)</f>
        <v/>
      </c>
      <c r="P613" s="26" t="str">
        <f>IF(
   T_Channel[[#This Row],[Check]]&lt;&gt;"OK",
   "",
   IF(
      T_Channel[[#This Row],[Query]]="",
      "Empty",
      "Defined"
   )
)</f>
        <v/>
      </c>
      <c r="Q613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613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613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61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613" s="20" t="str">
        <f>IF(
   T_Channel[[#This Row],[Check]]&lt;&gt;"OK",
   "",
   T_Channel[[#This Row],[ChannelSymbol]] &amp; ".evtx"
)</f>
        <v/>
      </c>
      <c r="V613" s="20" t="str">
        <f>IF(
   T_Channel[[#This Row],[Check]]&lt;&gt;"OK",
   "",
   T_Channel[[#This Row],[LogFolder]] &amp; "\" &amp; T_Channel[[#This Row],[LogFile]]
)</f>
        <v/>
      </c>
      <c r="W613" s="20" t="str">
        <f>IF(
   T_Channel[[#This Row],[Safekeeping of logs]]="",
   "",
   VLOOKUP(T_Channel[[#This Row],[Safekeeping of logs]],T_List_LogMode[],2,FALSE)
)</f>
        <v/>
      </c>
      <c r="X613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614" spans="2:24" x14ac:dyDescent="0.45">
      <c r="B614" s="7"/>
      <c r="C614" s="7"/>
      <c r="D614" s="7"/>
      <c r="E614" s="7"/>
      <c r="F614" s="6"/>
      <c r="G614" s="6"/>
      <c r="H614" s="6"/>
      <c r="I614" s="6"/>
      <c r="J614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614" s="21"/>
      <c r="L614" s="7"/>
      <c r="M614" s="41"/>
      <c r="N614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614" s="26" t="str">
        <f>IF(
   T_Channel[[#This Row],[ProviderName]]="",
   "",
   COUNTIF($N$12:$N$9982,T_Channel[[#This Row],[ProviderName]])
)</f>
        <v/>
      </c>
      <c r="P614" s="26" t="str">
        <f>IF(
   T_Channel[[#This Row],[Check]]&lt;&gt;"OK",
   "",
   IF(
      T_Channel[[#This Row],[Query]]="",
      "Empty",
      "Defined"
   )
)</f>
        <v/>
      </c>
      <c r="Q614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614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614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61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614" s="20" t="str">
        <f>IF(
   T_Channel[[#This Row],[Check]]&lt;&gt;"OK",
   "",
   T_Channel[[#This Row],[ChannelSymbol]] &amp; ".evtx"
)</f>
        <v/>
      </c>
      <c r="V614" s="20" t="str">
        <f>IF(
   T_Channel[[#This Row],[Check]]&lt;&gt;"OK",
   "",
   T_Channel[[#This Row],[LogFolder]] &amp; "\" &amp; T_Channel[[#This Row],[LogFile]]
)</f>
        <v/>
      </c>
      <c r="W614" s="20" t="str">
        <f>IF(
   T_Channel[[#This Row],[Safekeeping of logs]]="",
   "",
   VLOOKUP(T_Channel[[#This Row],[Safekeeping of logs]],T_List_LogMode[],2,FALSE)
)</f>
        <v/>
      </c>
      <c r="X614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615" spans="2:24" x14ac:dyDescent="0.45">
      <c r="B615" s="7"/>
      <c r="C615" s="7"/>
      <c r="D615" s="7"/>
      <c r="E615" s="7"/>
      <c r="F615" s="6"/>
      <c r="G615" s="6"/>
      <c r="H615" s="6"/>
      <c r="I615" s="6"/>
      <c r="J615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615" s="21"/>
      <c r="L615" s="7"/>
      <c r="M615" s="41"/>
      <c r="N615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615" s="26" t="str">
        <f>IF(
   T_Channel[[#This Row],[ProviderName]]="",
   "",
   COUNTIF($N$12:$N$9982,T_Channel[[#This Row],[ProviderName]])
)</f>
        <v/>
      </c>
      <c r="P615" s="26" t="str">
        <f>IF(
   T_Channel[[#This Row],[Check]]&lt;&gt;"OK",
   "",
   IF(
      T_Channel[[#This Row],[Query]]="",
      "Empty",
      "Defined"
   )
)</f>
        <v/>
      </c>
      <c r="Q615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615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615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61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615" s="20" t="str">
        <f>IF(
   T_Channel[[#This Row],[Check]]&lt;&gt;"OK",
   "",
   T_Channel[[#This Row],[ChannelSymbol]] &amp; ".evtx"
)</f>
        <v/>
      </c>
      <c r="V615" s="20" t="str">
        <f>IF(
   T_Channel[[#This Row],[Check]]&lt;&gt;"OK",
   "",
   T_Channel[[#This Row],[LogFolder]] &amp; "\" &amp; T_Channel[[#This Row],[LogFile]]
)</f>
        <v/>
      </c>
      <c r="W615" s="20" t="str">
        <f>IF(
   T_Channel[[#This Row],[Safekeeping of logs]]="",
   "",
   VLOOKUP(T_Channel[[#This Row],[Safekeeping of logs]],T_List_LogMode[],2,FALSE)
)</f>
        <v/>
      </c>
      <c r="X615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616" spans="2:24" x14ac:dyDescent="0.45">
      <c r="B616" s="7"/>
      <c r="C616" s="7"/>
      <c r="D616" s="7"/>
      <c r="E616" s="7"/>
      <c r="F616" s="6"/>
      <c r="G616" s="6"/>
      <c r="H616" s="6"/>
      <c r="I616" s="6"/>
      <c r="J616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616" s="21"/>
      <c r="L616" s="7"/>
      <c r="M616" s="41"/>
      <c r="N616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616" s="26" t="str">
        <f>IF(
   T_Channel[[#This Row],[ProviderName]]="",
   "",
   COUNTIF($N$12:$N$9982,T_Channel[[#This Row],[ProviderName]])
)</f>
        <v/>
      </c>
      <c r="P616" s="26" t="str">
        <f>IF(
   T_Channel[[#This Row],[Check]]&lt;&gt;"OK",
   "",
   IF(
      T_Channel[[#This Row],[Query]]="",
      "Empty",
      "Defined"
   )
)</f>
        <v/>
      </c>
      <c r="Q616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616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616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61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616" s="20" t="str">
        <f>IF(
   T_Channel[[#This Row],[Check]]&lt;&gt;"OK",
   "",
   T_Channel[[#This Row],[ChannelSymbol]] &amp; ".evtx"
)</f>
        <v/>
      </c>
      <c r="V616" s="20" t="str">
        <f>IF(
   T_Channel[[#This Row],[Check]]&lt;&gt;"OK",
   "",
   T_Channel[[#This Row],[LogFolder]] &amp; "\" &amp; T_Channel[[#This Row],[LogFile]]
)</f>
        <v/>
      </c>
      <c r="W616" s="20" t="str">
        <f>IF(
   T_Channel[[#This Row],[Safekeeping of logs]]="",
   "",
   VLOOKUP(T_Channel[[#This Row],[Safekeeping of logs]],T_List_LogMode[],2,FALSE)
)</f>
        <v/>
      </c>
      <c r="X616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617" spans="2:24" x14ac:dyDescent="0.45">
      <c r="B617" s="7"/>
      <c r="C617" s="7"/>
      <c r="D617" s="7"/>
      <c r="E617" s="7"/>
      <c r="F617" s="6"/>
      <c r="G617" s="6"/>
      <c r="H617" s="6"/>
      <c r="I617" s="6"/>
      <c r="J617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617" s="21"/>
      <c r="L617" s="7"/>
      <c r="M617" s="41"/>
      <c r="N617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617" s="26" t="str">
        <f>IF(
   T_Channel[[#This Row],[ProviderName]]="",
   "",
   COUNTIF($N$12:$N$9982,T_Channel[[#This Row],[ProviderName]])
)</f>
        <v/>
      </c>
      <c r="P617" s="26" t="str">
        <f>IF(
   T_Channel[[#This Row],[Check]]&lt;&gt;"OK",
   "",
   IF(
      T_Channel[[#This Row],[Query]]="",
      "Empty",
      "Defined"
   )
)</f>
        <v/>
      </c>
      <c r="Q617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617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617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61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617" s="20" t="str">
        <f>IF(
   T_Channel[[#This Row],[Check]]&lt;&gt;"OK",
   "",
   T_Channel[[#This Row],[ChannelSymbol]] &amp; ".evtx"
)</f>
        <v/>
      </c>
      <c r="V617" s="20" t="str">
        <f>IF(
   T_Channel[[#This Row],[Check]]&lt;&gt;"OK",
   "",
   T_Channel[[#This Row],[LogFolder]] &amp; "\" &amp; T_Channel[[#This Row],[LogFile]]
)</f>
        <v/>
      </c>
      <c r="W617" s="20" t="str">
        <f>IF(
   T_Channel[[#This Row],[Safekeeping of logs]]="",
   "",
   VLOOKUP(T_Channel[[#This Row],[Safekeeping of logs]],T_List_LogMode[],2,FALSE)
)</f>
        <v/>
      </c>
      <c r="X617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618" spans="2:24" x14ac:dyDescent="0.45">
      <c r="B618" s="7"/>
      <c r="C618" s="7"/>
      <c r="D618" s="7"/>
      <c r="E618" s="7"/>
      <c r="F618" s="6"/>
      <c r="G618" s="6"/>
      <c r="H618" s="6"/>
      <c r="I618" s="6"/>
      <c r="J618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618" s="21"/>
      <c r="L618" s="7"/>
      <c r="M618" s="41"/>
      <c r="N618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618" s="26" t="str">
        <f>IF(
   T_Channel[[#This Row],[ProviderName]]="",
   "",
   COUNTIF($N$12:$N$9982,T_Channel[[#This Row],[ProviderName]])
)</f>
        <v/>
      </c>
      <c r="P618" s="26" t="str">
        <f>IF(
   T_Channel[[#This Row],[Check]]&lt;&gt;"OK",
   "",
   IF(
      T_Channel[[#This Row],[Query]]="",
      "Empty",
      "Defined"
   )
)</f>
        <v/>
      </c>
      <c r="Q618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618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618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61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618" s="20" t="str">
        <f>IF(
   T_Channel[[#This Row],[Check]]&lt;&gt;"OK",
   "",
   T_Channel[[#This Row],[ChannelSymbol]] &amp; ".evtx"
)</f>
        <v/>
      </c>
      <c r="V618" s="20" t="str">
        <f>IF(
   T_Channel[[#This Row],[Check]]&lt;&gt;"OK",
   "",
   T_Channel[[#This Row],[LogFolder]] &amp; "\" &amp; T_Channel[[#This Row],[LogFile]]
)</f>
        <v/>
      </c>
      <c r="W618" s="20" t="str">
        <f>IF(
   T_Channel[[#This Row],[Safekeeping of logs]]="",
   "",
   VLOOKUP(T_Channel[[#This Row],[Safekeeping of logs]],T_List_LogMode[],2,FALSE)
)</f>
        <v/>
      </c>
      <c r="X618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619" spans="2:24" x14ac:dyDescent="0.45">
      <c r="B619" s="7"/>
      <c r="C619" s="7"/>
      <c r="D619" s="7"/>
      <c r="E619" s="7"/>
      <c r="F619" s="6"/>
      <c r="G619" s="6"/>
      <c r="H619" s="6"/>
      <c r="I619" s="6"/>
      <c r="J619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619" s="21"/>
      <c r="L619" s="7"/>
      <c r="M619" s="41"/>
      <c r="N619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619" s="26" t="str">
        <f>IF(
   T_Channel[[#This Row],[ProviderName]]="",
   "",
   COUNTIF($N$12:$N$9982,T_Channel[[#This Row],[ProviderName]])
)</f>
        <v/>
      </c>
      <c r="P619" s="26" t="str">
        <f>IF(
   T_Channel[[#This Row],[Check]]&lt;&gt;"OK",
   "",
   IF(
      T_Channel[[#This Row],[Query]]="",
      "Empty",
      "Defined"
   )
)</f>
        <v/>
      </c>
      <c r="Q619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619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619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61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619" s="20" t="str">
        <f>IF(
   T_Channel[[#This Row],[Check]]&lt;&gt;"OK",
   "",
   T_Channel[[#This Row],[ChannelSymbol]] &amp; ".evtx"
)</f>
        <v/>
      </c>
      <c r="V619" s="20" t="str">
        <f>IF(
   T_Channel[[#This Row],[Check]]&lt;&gt;"OK",
   "",
   T_Channel[[#This Row],[LogFolder]] &amp; "\" &amp; T_Channel[[#This Row],[LogFile]]
)</f>
        <v/>
      </c>
      <c r="W619" s="20" t="str">
        <f>IF(
   T_Channel[[#This Row],[Safekeeping of logs]]="",
   "",
   VLOOKUP(T_Channel[[#This Row],[Safekeeping of logs]],T_List_LogMode[],2,FALSE)
)</f>
        <v/>
      </c>
      <c r="X619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620" spans="2:24" x14ac:dyDescent="0.45">
      <c r="B620" s="7"/>
      <c r="C620" s="7"/>
      <c r="D620" s="7"/>
      <c r="E620" s="7"/>
      <c r="F620" s="6"/>
      <c r="G620" s="6"/>
      <c r="H620" s="6"/>
      <c r="I620" s="6"/>
      <c r="J620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620" s="21"/>
      <c r="L620" s="7"/>
      <c r="M620" s="41"/>
      <c r="N620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620" s="26" t="str">
        <f>IF(
   T_Channel[[#This Row],[ProviderName]]="",
   "",
   COUNTIF($N$12:$N$9982,T_Channel[[#This Row],[ProviderName]])
)</f>
        <v/>
      </c>
      <c r="P620" s="26" t="str">
        <f>IF(
   T_Channel[[#This Row],[Check]]&lt;&gt;"OK",
   "",
   IF(
      T_Channel[[#This Row],[Query]]="",
      "Empty",
      "Defined"
   )
)</f>
        <v/>
      </c>
      <c r="Q620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620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620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62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620" s="20" t="str">
        <f>IF(
   T_Channel[[#This Row],[Check]]&lt;&gt;"OK",
   "",
   T_Channel[[#This Row],[ChannelSymbol]] &amp; ".evtx"
)</f>
        <v/>
      </c>
      <c r="V620" s="20" t="str">
        <f>IF(
   T_Channel[[#This Row],[Check]]&lt;&gt;"OK",
   "",
   T_Channel[[#This Row],[LogFolder]] &amp; "\" &amp; T_Channel[[#This Row],[LogFile]]
)</f>
        <v/>
      </c>
      <c r="W620" s="20" t="str">
        <f>IF(
   T_Channel[[#This Row],[Safekeeping of logs]]="",
   "",
   VLOOKUP(T_Channel[[#This Row],[Safekeeping of logs]],T_List_LogMode[],2,FALSE)
)</f>
        <v/>
      </c>
      <c r="X620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621" spans="2:24" x14ac:dyDescent="0.45">
      <c r="B621" s="7"/>
      <c r="C621" s="7"/>
      <c r="D621" s="7"/>
      <c r="E621" s="7"/>
      <c r="F621" s="6"/>
      <c r="G621" s="6"/>
      <c r="H621" s="6"/>
      <c r="I621" s="6"/>
      <c r="J621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621" s="21"/>
      <c r="L621" s="7"/>
      <c r="M621" s="41"/>
      <c r="N621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621" s="26" t="str">
        <f>IF(
   T_Channel[[#This Row],[ProviderName]]="",
   "",
   COUNTIF($N$12:$N$9982,T_Channel[[#This Row],[ProviderName]])
)</f>
        <v/>
      </c>
      <c r="P621" s="26" t="str">
        <f>IF(
   T_Channel[[#This Row],[Check]]&lt;&gt;"OK",
   "",
   IF(
      T_Channel[[#This Row],[Query]]="",
      "Empty",
      "Defined"
   )
)</f>
        <v/>
      </c>
      <c r="Q621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621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621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62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621" s="20" t="str">
        <f>IF(
   T_Channel[[#This Row],[Check]]&lt;&gt;"OK",
   "",
   T_Channel[[#This Row],[ChannelSymbol]] &amp; ".evtx"
)</f>
        <v/>
      </c>
      <c r="V621" s="20" t="str">
        <f>IF(
   T_Channel[[#This Row],[Check]]&lt;&gt;"OK",
   "",
   T_Channel[[#This Row],[LogFolder]] &amp; "\" &amp; T_Channel[[#This Row],[LogFile]]
)</f>
        <v/>
      </c>
      <c r="W621" s="20" t="str">
        <f>IF(
   T_Channel[[#This Row],[Safekeeping of logs]]="",
   "",
   VLOOKUP(T_Channel[[#This Row],[Safekeeping of logs]],T_List_LogMode[],2,FALSE)
)</f>
        <v/>
      </c>
      <c r="X621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622" spans="2:24" x14ac:dyDescent="0.45">
      <c r="B622" s="7"/>
      <c r="C622" s="7"/>
      <c r="D622" s="7"/>
      <c r="E622" s="7"/>
      <c r="F622" s="6"/>
      <c r="G622" s="6"/>
      <c r="H622" s="6"/>
      <c r="I622" s="6"/>
      <c r="J622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622" s="21"/>
      <c r="L622" s="7"/>
      <c r="M622" s="41"/>
      <c r="N622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622" s="26" t="str">
        <f>IF(
   T_Channel[[#This Row],[ProviderName]]="",
   "",
   COUNTIF($N$12:$N$9982,T_Channel[[#This Row],[ProviderName]])
)</f>
        <v/>
      </c>
      <c r="P622" s="26" t="str">
        <f>IF(
   T_Channel[[#This Row],[Check]]&lt;&gt;"OK",
   "",
   IF(
      T_Channel[[#This Row],[Query]]="",
      "Empty",
      "Defined"
   )
)</f>
        <v/>
      </c>
      <c r="Q622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622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622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62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622" s="20" t="str">
        <f>IF(
   T_Channel[[#This Row],[Check]]&lt;&gt;"OK",
   "",
   T_Channel[[#This Row],[ChannelSymbol]] &amp; ".evtx"
)</f>
        <v/>
      </c>
      <c r="V622" s="20" t="str">
        <f>IF(
   T_Channel[[#This Row],[Check]]&lt;&gt;"OK",
   "",
   T_Channel[[#This Row],[LogFolder]] &amp; "\" &amp; T_Channel[[#This Row],[LogFile]]
)</f>
        <v/>
      </c>
      <c r="W622" s="20" t="str">
        <f>IF(
   T_Channel[[#This Row],[Safekeeping of logs]]="",
   "",
   VLOOKUP(T_Channel[[#This Row],[Safekeeping of logs]],T_List_LogMode[],2,FALSE)
)</f>
        <v/>
      </c>
      <c r="X622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623" spans="2:24" x14ac:dyDescent="0.45">
      <c r="B623" s="7"/>
      <c r="C623" s="7"/>
      <c r="D623" s="7"/>
      <c r="E623" s="7"/>
      <c r="F623" s="6"/>
      <c r="G623" s="6"/>
      <c r="H623" s="6"/>
      <c r="I623" s="6"/>
      <c r="J623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623" s="21"/>
      <c r="L623" s="7"/>
      <c r="M623" s="41"/>
      <c r="N623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623" s="26" t="str">
        <f>IF(
   T_Channel[[#This Row],[ProviderName]]="",
   "",
   COUNTIF($N$12:$N$9982,T_Channel[[#This Row],[ProviderName]])
)</f>
        <v/>
      </c>
      <c r="P623" s="26" t="str">
        <f>IF(
   T_Channel[[#This Row],[Check]]&lt;&gt;"OK",
   "",
   IF(
      T_Channel[[#This Row],[Query]]="",
      "Empty",
      "Defined"
   )
)</f>
        <v/>
      </c>
      <c r="Q623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623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623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62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623" s="20" t="str">
        <f>IF(
   T_Channel[[#This Row],[Check]]&lt;&gt;"OK",
   "",
   T_Channel[[#This Row],[ChannelSymbol]] &amp; ".evtx"
)</f>
        <v/>
      </c>
      <c r="V623" s="20" t="str">
        <f>IF(
   T_Channel[[#This Row],[Check]]&lt;&gt;"OK",
   "",
   T_Channel[[#This Row],[LogFolder]] &amp; "\" &amp; T_Channel[[#This Row],[LogFile]]
)</f>
        <v/>
      </c>
      <c r="W623" s="20" t="str">
        <f>IF(
   T_Channel[[#This Row],[Safekeeping of logs]]="",
   "",
   VLOOKUP(T_Channel[[#This Row],[Safekeeping of logs]],T_List_LogMode[],2,FALSE)
)</f>
        <v/>
      </c>
      <c r="X623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624" spans="2:24" x14ac:dyDescent="0.45">
      <c r="B624" s="7"/>
      <c r="C624" s="7"/>
      <c r="D624" s="7"/>
      <c r="E624" s="7"/>
      <c r="F624" s="6"/>
      <c r="G624" s="6"/>
      <c r="H624" s="6"/>
      <c r="I624" s="6"/>
      <c r="J624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624" s="21"/>
      <c r="L624" s="7"/>
      <c r="M624" s="41"/>
      <c r="N624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624" s="26" t="str">
        <f>IF(
   T_Channel[[#This Row],[ProviderName]]="",
   "",
   COUNTIF($N$12:$N$9982,T_Channel[[#This Row],[ProviderName]])
)</f>
        <v/>
      </c>
      <c r="P624" s="26" t="str">
        <f>IF(
   T_Channel[[#This Row],[Check]]&lt;&gt;"OK",
   "",
   IF(
      T_Channel[[#This Row],[Query]]="",
      "Empty",
      "Defined"
   )
)</f>
        <v/>
      </c>
      <c r="Q624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624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624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62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624" s="20" t="str">
        <f>IF(
   T_Channel[[#This Row],[Check]]&lt;&gt;"OK",
   "",
   T_Channel[[#This Row],[ChannelSymbol]] &amp; ".evtx"
)</f>
        <v/>
      </c>
      <c r="V624" s="20" t="str">
        <f>IF(
   T_Channel[[#This Row],[Check]]&lt;&gt;"OK",
   "",
   T_Channel[[#This Row],[LogFolder]] &amp; "\" &amp; T_Channel[[#This Row],[LogFile]]
)</f>
        <v/>
      </c>
      <c r="W624" s="20" t="str">
        <f>IF(
   T_Channel[[#This Row],[Safekeeping of logs]]="",
   "",
   VLOOKUP(T_Channel[[#This Row],[Safekeeping of logs]],T_List_LogMode[],2,FALSE)
)</f>
        <v/>
      </c>
      <c r="X624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625" spans="2:24" x14ac:dyDescent="0.45">
      <c r="B625" s="7"/>
      <c r="C625" s="7"/>
      <c r="D625" s="7"/>
      <c r="E625" s="7"/>
      <c r="F625" s="6"/>
      <c r="G625" s="6"/>
      <c r="H625" s="6"/>
      <c r="I625" s="6"/>
      <c r="J625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625" s="21"/>
      <c r="L625" s="7"/>
      <c r="M625" s="41"/>
      <c r="N625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625" s="26" t="str">
        <f>IF(
   T_Channel[[#This Row],[ProviderName]]="",
   "",
   COUNTIF($N$12:$N$9982,T_Channel[[#This Row],[ProviderName]])
)</f>
        <v/>
      </c>
      <c r="P625" s="26" t="str">
        <f>IF(
   T_Channel[[#This Row],[Check]]&lt;&gt;"OK",
   "",
   IF(
      T_Channel[[#This Row],[Query]]="",
      "Empty",
      "Defined"
   )
)</f>
        <v/>
      </c>
      <c r="Q625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625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625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62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625" s="20" t="str">
        <f>IF(
   T_Channel[[#This Row],[Check]]&lt;&gt;"OK",
   "",
   T_Channel[[#This Row],[ChannelSymbol]] &amp; ".evtx"
)</f>
        <v/>
      </c>
      <c r="V625" s="20" t="str">
        <f>IF(
   T_Channel[[#This Row],[Check]]&lt;&gt;"OK",
   "",
   T_Channel[[#This Row],[LogFolder]] &amp; "\" &amp; T_Channel[[#This Row],[LogFile]]
)</f>
        <v/>
      </c>
      <c r="W625" s="20" t="str">
        <f>IF(
   T_Channel[[#This Row],[Safekeeping of logs]]="",
   "",
   VLOOKUP(T_Channel[[#This Row],[Safekeeping of logs]],T_List_LogMode[],2,FALSE)
)</f>
        <v/>
      </c>
      <c r="X625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626" spans="2:24" x14ac:dyDescent="0.45">
      <c r="B626" s="7"/>
      <c r="C626" s="7"/>
      <c r="D626" s="7"/>
      <c r="E626" s="7"/>
      <c r="F626" s="6"/>
      <c r="G626" s="6"/>
      <c r="H626" s="6"/>
      <c r="I626" s="6"/>
      <c r="J626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626" s="21"/>
      <c r="L626" s="7"/>
      <c r="M626" s="41"/>
      <c r="N626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626" s="26" t="str">
        <f>IF(
   T_Channel[[#This Row],[ProviderName]]="",
   "",
   COUNTIF($N$12:$N$9982,T_Channel[[#This Row],[ProviderName]])
)</f>
        <v/>
      </c>
      <c r="P626" s="26" t="str">
        <f>IF(
   T_Channel[[#This Row],[Check]]&lt;&gt;"OK",
   "",
   IF(
      T_Channel[[#This Row],[Query]]="",
      "Empty",
      "Defined"
   )
)</f>
        <v/>
      </c>
      <c r="Q626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626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626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62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626" s="20" t="str">
        <f>IF(
   T_Channel[[#This Row],[Check]]&lt;&gt;"OK",
   "",
   T_Channel[[#This Row],[ChannelSymbol]] &amp; ".evtx"
)</f>
        <v/>
      </c>
      <c r="V626" s="20" t="str">
        <f>IF(
   T_Channel[[#This Row],[Check]]&lt;&gt;"OK",
   "",
   T_Channel[[#This Row],[LogFolder]] &amp; "\" &amp; T_Channel[[#This Row],[LogFile]]
)</f>
        <v/>
      </c>
      <c r="W626" s="20" t="str">
        <f>IF(
   T_Channel[[#This Row],[Safekeeping of logs]]="",
   "",
   VLOOKUP(T_Channel[[#This Row],[Safekeeping of logs]],T_List_LogMode[],2,FALSE)
)</f>
        <v/>
      </c>
      <c r="X626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627" spans="2:24" x14ac:dyDescent="0.45">
      <c r="B627" s="7"/>
      <c r="C627" s="7"/>
      <c r="D627" s="7"/>
      <c r="E627" s="7"/>
      <c r="F627" s="6"/>
      <c r="G627" s="6"/>
      <c r="H627" s="6"/>
      <c r="I627" s="6"/>
      <c r="J627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627" s="21"/>
      <c r="L627" s="7"/>
      <c r="M627" s="41"/>
      <c r="N627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627" s="26" t="str">
        <f>IF(
   T_Channel[[#This Row],[ProviderName]]="",
   "",
   COUNTIF($N$12:$N$9982,T_Channel[[#This Row],[ProviderName]])
)</f>
        <v/>
      </c>
      <c r="P627" s="26" t="str">
        <f>IF(
   T_Channel[[#This Row],[Check]]&lt;&gt;"OK",
   "",
   IF(
      T_Channel[[#This Row],[Query]]="",
      "Empty",
      "Defined"
   )
)</f>
        <v/>
      </c>
      <c r="Q627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627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627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62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627" s="20" t="str">
        <f>IF(
   T_Channel[[#This Row],[Check]]&lt;&gt;"OK",
   "",
   T_Channel[[#This Row],[ChannelSymbol]] &amp; ".evtx"
)</f>
        <v/>
      </c>
      <c r="V627" s="20" t="str">
        <f>IF(
   T_Channel[[#This Row],[Check]]&lt;&gt;"OK",
   "",
   T_Channel[[#This Row],[LogFolder]] &amp; "\" &amp; T_Channel[[#This Row],[LogFile]]
)</f>
        <v/>
      </c>
      <c r="W627" s="20" t="str">
        <f>IF(
   T_Channel[[#This Row],[Safekeeping of logs]]="",
   "",
   VLOOKUP(T_Channel[[#This Row],[Safekeeping of logs]],T_List_LogMode[],2,FALSE)
)</f>
        <v/>
      </c>
      <c r="X627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628" spans="2:24" x14ac:dyDescent="0.45">
      <c r="B628" s="7"/>
      <c r="C628" s="7"/>
      <c r="D628" s="7"/>
      <c r="E628" s="7"/>
      <c r="F628" s="6"/>
      <c r="G628" s="6"/>
      <c r="H628" s="6"/>
      <c r="I628" s="6"/>
      <c r="J628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628" s="21"/>
      <c r="L628" s="7"/>
      <c r="M628" s="41"/>
      <c r="N628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628" s="26" t="str">
        <f>IF(
   T_Channel[[#This Row],[ProviderName]]="",
   "",
   COUNTIF($N$12:$N$9982,T_Channel[[#This Row],[ProviderName]])
)</f>
        <v/>
      </c>
      <c r="P628" s="26" t="str">
        <f>IF(
   T_Channel[[#This Row],[Check]]&lt;&gt;"OK",
   "",
   IF(
      T_Channel[[#This Row],[Query]]="",
      "Empty",
      "Defined"
   )
)</f>
        <v/>
      </c>
      <c r="Q628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628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628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62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628" s="20" t="str">
        <f>IF(
   T_Channel[[#This Row],[Check]]&lt;&gt;"OK",
   "",
   T_Channel[[#This Row],[ChannelSymbol]] &amp; ".evtx"
)</f>
        <v/>
      </c>
      <c r="V628" s="20" t="str">
        <f>IF(
   T_Channel[[#This Row],[Check]]&lt;&gt;"OK",
   "",
   T_Channel[[#This Row],[LogFolder]] &amp; "\" &amp; T_Channel[[#This Row],[LogFile]]
)</f>
        <v/>
      </c>
      <c r="W628" s="20" t="str">
        <f>IF(
   T_Channel[[#This Row],[Safekeeping of logs]]="",
   "",
   VLOOKUP(T_Channel[[#This Row],[Safekeeping of logs]],T_List_LogMode[],2,FALSE)
)</f>
        <v/>
      </c>
      <c r="X628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629" spans="2:24" x14ac:dyDescent="0.45">
      <c r="B629" s="7"/>
      <c r="C629" s="7"/>
      <c r="D629" s="7"/>
      <c r="E629" s="7"/>
      <c r="F629" s="6"/>
      <c r="G629" s="6"/>
      <c r="H629" s="6"/>
      <c r="I629" s="6"/>
      <c r="J629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629" s="21"/>
      <c r="L629" s="7"/>
      <c r="M629" s="41"/>
      <c r="N629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629" s="26" t="str">
        <f>IF(
   T_Channel[[#This Row],[ProviderName]]="",
   "",
   COUNTIF($N$12:$N$9982,T_Channel[[#This Row],[ProviderName]])
)</f>
        <v/>
      </c>
      <c r="P629" s="26" t="str">
        <f>IF(
   T_Channel[[#This Row],[Check]]&lt;&gt;"OK",
   "",
   IF(
      T_Channel[[#This Row],[Query]]="",
      "Empty",
      "Defined"
   )
)</f>
        <v/>
      </c>
      <c r="Q629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629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629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62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629" s="20" t="str">
        <f>IF(
   T_Channel[[#This Row],[Check]]&lt;&gt;"OK",
   "",
   T_Channel[[#This Row],[ChannelSymbol]] &amp; ".evtx"
)</f>
        <v/>
      </c>
      <c r="V629" s="20" t="str">
        <f>IF(
   T_Channel[[#This Row],[Check]]&lt;&gt;"OK",
   "",
   T_Channel[[#This Row],[LogFolder]] &amp; "\" &amp; T_Channel[[#This Row],[LogFile]]
)</f>
        <v/>
      </c>
      <c r="W629" s="20" t="str">
        <f>IF(
   T_Channel[[#This Row],[Safekeeping of logs]]="",
   "",
   VLOOKUP(T_Channel[[#This Row],[Safekeeping of logs]],T_List_LogMode[],2,FALSE)
)</f>
        <v/>
      </c>
      <c r="X629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630" spans="2:24" x14ac:dyDescent="0.45">
      <c r="B630" s="7"/>
      <c r="C630" s="7"/>
      <c r="D630" s="7"/>
      <c r="E630" s="7"/>
      <c r="F630" s="6"/>
      <c r="G630" s="6"/>
      <c r="H630" s="6"/>
      <c r="I630" s="6"/>
      <c r="J630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630" s="21"/>
      <c r="L630" s="7"/>
      <c r="M630" s="41"/>
      <c r="N630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630" s="26" t="str">
        <f>IF(
   T_Channel[[#This Row],[ProviderName]]="",
   "",
   COUNTIF($N$12:$N$9982,T_Channel[[#This Row],[ProviderName]])
)</f>
        <v/>
      </c>
      <c r="P630" s="26" t="str">
        <f>IF(
   T_Channel[[#This Row],[Check]]&lt;&gt;"OK",
   "",
   IF(
      T_Channel[[#This Row],[Query]]="",
      "Empty",
      "Defined"
   )
)</f>
        <v/>
      </c>
      <c r="Q630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630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630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63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630" s="20" t="str">
        <f>IF(
   T_Channel[[#This Row],[Check]]&lt;&gt;"OK",
   "",
   T_Channel[[#This Row],[ChannelSymbol]] &amp; ".evtx"
)</f>
        <v/>
      </c>
      <c r="V630" s="20" t="str">
        <f>IF(
   T_Channel[[#This Row],[Check]]&lt;&gt;"OK",
   "",
   T_Channel[[#This Row],[LogFolder]] &amp; "\" &amp; T_Channel[[#This Row],[LogFile]]
)</f>
        <v/>
      </c>
      <c r="W630" s="20" t="str">
        <f>IF(
   T_Channel[[#This Row],[Safekeeping of logs]]="",
   "",
   VLOOKUP(T_Channel[[#This Row],[Safekeeping of logs]],T_List_LogMode[],2,FALSE)
)</f>
        <v/>
      </c>
      <c r="X630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631" spans="2:24" x14ac:dyDescent="0.45">
      <c r="B631" s="7"/>
      <c r="C631" s="7"/>
      <c r="D631" s="7"/>
      <c r="E631" s="7"/>
      <c r="F631" s="6"/>
      <c r="G631" s="6"/>
      <c r="H631" s="6"/>
      <c r="I631" s="6"/>
      <c r="J631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631" s="21"/>
      <c r="L631" s="7"/>
      <c r="M631" s="41"/>
      <c r="N631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631" s="26" t="str">
        <f>IF(
   T_Channel[[#This Row],[ProviderName]]="",
   "",
   COUNTIF($N$12:$N$9982,T_Channel[[#This Row],[ProviderName]])
)</f>
        <v/>
      </c>
      <c r="P631" s="26" t="str">
        <f>IF(
   T_Channel[[#This Row],[Check]]&lt;&gt;"OK",
   "",
   IF(
      T_Channel[[#This Row],[Query]]="",
      "Empty",
      "Defined"
   )
)</f>
        <v/>
      </c>
      <c r="Q631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631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631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63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631" s="20" t="str">
        <f>IF(
   T_Channel[[#This Row],[Check]]&lt;&gt;"OK",
   "",
   T_Channel[[#This Row],[ChannelSymbol]] &amp; ".evtx"
)</f>
        <v/>
      </c>
      <c r="V631" s="20" t="str">
        <f>IF(
   T_Channel[[#This Row],[Check]]&lt;&gt;"OK",
   "",
   T_Channel[[#This Row],[LogFolder]] &amp; "\" &amp; T_Channel[[#This Row],[LogFile]]
)</f>
        <v/>
      </c>
      <c r="W631" s="20" t="str">
        <f>IF(
   T_Channel[[#This Row],[Safekeeping of logs]]="",
   "",
   VLOOKUP(T_Channel[[#This Row],[Safekeeping of logs]],T_List_LogMode[],2,FALSE)
)</f>
        <v/>
      </c>
      <c r="X631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632" spans="2:24" x14ac:dyDescent="0.45">
      <c r="B632" s="7"/>
      <c r="C632" s="7"/>
      <c r="D632" s="7"/>
      <c r="E632" s="7"/>
      <c r="F632" s="6"/>
      <c r="G632" s="6"/>
      <c r="H632" s="6"/>
      <c r="I632" s="6"/>
      <c r="J632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632" s="21"/>
      <c r="L632" s="7"/>
      <c r="M632" s="41"/>
      <c r="N632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632" s="26" t="str">
        <f>IF(
   T_Channel[[#This Row],[ProviderName]]="",
   "",
   COUNTIF($N$12:$N$9982,T_Channel[[#This Row],[ProviderName]])
)</f>
        <v/>
      </c>
      <c r="P632" s="26" t="str">
        <f>IF(
   T_Channel[[#This Row],[Check]]&lt;&gt;"OK",
   "",
   IF(
      T_Channel[[#This Row],[Query]]="",
      "Empty",
      "Defined"
   )
)</f>
        <v/>
      </c>
      <c r="Q632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632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632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63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632" s="20" t="str">
        <f>IF(
   T_Channel[[#This Row],[Check]]&lt;&gt;"OK",
   "",
   T_Channel[[#This Row],[ChannelSymbol]] &amp; ".evtx"
)</f>
        <v/>
      </c>
      <c r="V632" s="20" t="str">
        <f>IF(
   T_Channel[[#This Row],[Check]]&lt;&gt;"OK",
   "",
   T_Channel[[#This Row],[LogFolder]] &amp; "\" &amp; T_Channel[[#This Row],[LogFile]]
)</f>
        <v/>
      </c>
      <c r="W632" s="20" t="str">
        <f>IF(
   T_Channel[[#This Row],[Safekeeping of logs]]="",
   "",
   VLOOKUP(T_Channel[[#This Row],[Safekeeping of logs]],T_List_LogMode[],2,FALSE)
)</f>
        <v/>
      </c>
      <c r="X632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633" spans="2:24" x14ac:dyDescent="0.45">
      <c r="B633" s="7"/>
      <c r="C633" s="7"/>
      <c r="D633" s="7"/>
      <c r="E633" s="7"/>
      <c r="F633" s="6"/>
      <c r="G633" s="6"/>
      <c r="H633" s="6"/>
      <c r="I633" s="6"/>
      <c r="J633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633" s="21"/>
      <c r="L633" s="7"/>
      <c r="M633" s="41"/>
      <c r="N633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633" s="26" t="str">
        <f>IF(
   T_Channel[[#This Row],[ProviderName]]="",
   "",
   COUNTIF($N$12:$N$9982,T_Channel[[#This Row],[ProviderName]])
)</f>
        <v/>
      </c>
      <c r="P633" s="26" t="str">
        <f>IF(
   T_Channel[[#This Row],[Check]]&lt;&gt;"OK",
   "",
   IF(
      T_Channel[[#This Row],[Query]]="",
      "Empty",
      "Defined"
   )
)</f>
        <v/>
      </c>
      <c r="Q633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633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633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63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633" s="20" t="str">
        <f>IF(
   T_Channel[[#This Row],[Check]]&lt;&gt;"OK",
   "",
   T_Channel[[#This Row],[ChannelSymbol]] &amp; ".evtx"
)</f>
        <v/>
      </c>
      <c r="V633" s="20" t="str">
        <f>IF(
   T_Channel[[#This Row],[Check]]&lt;&gt;"OK",
   "",
   T_Channel[[#This Row],[LogFolder]] &amp; "\" &amp; T_Channel[[#This Row],[LogFile]]
)</f>
        <v/>
      </c>
      <c r="W633" s="20" t="str">
        <f>IF(
   T_Channel[[#This Row],[Safekeeping of logs]]="",
   "",
   VLOOKUP(T_Channel[[#This Row],[Safekeeping of logs]],T_List_LogMode[],2,FALSE)
)</f>
        <v/>
      </c>
      <c r="X633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634" spans="2:24" x14ac:dyDescent="0.45">
      <c r="B634" s="7"/>
      <c r="C634" s="7"/>
      <c r="D634" s="7"/>
      <c r="E634" s="7"/>
      <c r="F634" s="6"/>
      <c r="G634" s="6"/>
      <c r="H634" s="6"/>
      <c r="I634" s="6"/>
      <c r="J634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634" s="21"/>
      <c r="L634" s="7"/>
      <c r="M634" s="41"/>
      <c r="N634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634" s="26" t="str">
        <f>IF(
   T_Channel[[#This Row],[ProviderName]]="",
   "",
   COUNTIF($N$12:$N$9982,T_Channel[[#This Row],[ProviderName]])
)</f>
        <v/>
      </c>
      <c r="P634" s="26" t="str">
        <f>IF(
   T_Channel[[#This Row],[Check]]&lt;&gt;"OK",
   "",
   IF(
      T_Channel[[#This Row],[Query]]="",
      "Empty",
      "Defined"
   )
)</f>
        <v/>
      </c>
      <c r="Q634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634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634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63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634" s="20" t="str">
        <f>IF(
   T_Channel[[#This Row],[Check]]&lt;&gt;"OK",
   "",
   T_Channel[[#This Row],[ChannelSymbol]] &amp; ".evtx"
)</f>
        <v/>
      </c>
      <c r="V634" s="20" t="str">
        <f>IF(
   T_Channel[[#This Row],[Check]]&lt;&gt;"OK",
   "",
   T_Channel[[#This Row],[LogFolder]] &amp; "\" &amp; T_Channel[[#This Row],[LogFile]]
)</f>
        <v/>
      </c>
      <c r="W634" s="20" t="str">
        <f>IF(
   T_Channel[[#This Row],[Safekeeping of logs]]="",
   "",
   VLOOKUP(T_Channel[[#This Row],[Safekeeping of logs]],T_List_LogMode[],2,FALSE)
)</f>
        <v/>
      </c>
      <c r="X634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635" spans="2:24" x14ac:dyDescent="0.45">
      <c r="B635" s="7"/>
      <c r="C635" s="7"/>
      <c r="D635" s="7"/>
      <c r="E635" s="7"/>
      <c r="F635" s="6"/>
      <c r="G635" s="6"/>
      <c r="H635" s="6"/>
      <c r="I635" s="6"/>
      <c r="J635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635" s="21"/>
      <c r="L635" s="7"/>
      <c r="M635" s="41"/>
      <c r="N635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635" s="26" t="str">
        <f>IF(
   T_Channel[[#This Row],[ProviderName]]="",
   "",
   COUNTIF($N$12:$N$9982,T_Channel[[#This Row],[ProviderName]])
)</f>
        <v/>
      </c>
      <c r="P635" s="26" t="str">
        <f>IF(
   T_Channel[[#This Row],[Check]]&lt;&gt;"OK",
   "",
   IF(
      T_Channel[[#This Row],[Query]]="",
      "Empty",
      "Defined"
   )
)</f>
        <v/>
      </c>
      <c r="Q635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635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635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63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635" s="20" t="str">
        <f>IF(
   T_Channel[[#This Row],[Check]]&lt;&gt;"OK",
   "",
   T_Channel[[#This Row],[ChannelSymbol]] &amp; ".evtx"
)</f>
        <v/>
      </c>
      <c r="V635" s="20" t="str">
        <f>IF(
   T_Channel[[#This Row],[Check]]&lt;&gt;"OK",
   "",
   T_Channel[[#This Row],[LogFolder]] &amp; "\" &amp; T_Channel[[#This Row],[LogFile]]
)</f>
        <v/>
      </c>
      <c r="W635" s="20" t="str">
        <f>IF(
   T_Channel[[#This Row],[Safekeeping of logs]]="",
   "",
   VLOOKUP(T_Channel[[#This Row],[Safekeeping of logs]],T_List_LogMode[],2,FALSE)
)</f>
        <v/>
      </c>
      <c r="X635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636" spans="2:24" x14ac:dyDescent="0.45">
      <c r="B636" s="7"/>
      <c r="C636" s="7"/>
      <c r="D636" s="7"/>
      <c r="E636" s="7"/>
      <c r="F636" s="6"/>
      <c r="G636" s="6"/>
      <c r="H636" s="6"/>
      <c r="I636" s="6"/>
      <c r="J636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636" s="21"/>
      <c r="L636" s="7"/>
      <c r="M636" s="41"/>
      <c r="N636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636" s="26" t="str">
        <f>IF(
   T_Channel[[#This Row],[ProviderName]]="",
   "",
   COUNTIF($N$12:$N$9982,T_Channel[[#This Row],[ProviderName]])
)</f>
        <v/>
      </c>
      <c r="P636" s="26" t="str">
        <f>IF(
   T_Channel[[#This Row],[Check]]&lt;&gt;"OK",
   "",
   IF(
      T_Channel[[#This Row],[Query]]="",
      "Empty",
      "Defined"
   )
)</f>
        <v/>
      </c>
      <c r="Q636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636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636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63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636" s="20" t="str">
        <f>IF(
   T_Channel[[#This Row],[Check]]&lt;&gt;"OK",
   "",
   T_Channel[[#This Row],[ChannelSymbol]] &amp; ".evtx"
)</f>
        <v/>
      </c>
      <c r="V636" s="20" t="str">
        <f>IF(
   T_Channel[[#This Row],[Check]]&lt;&gt;"OK",
   "",
   T_Channel[[#This Row],[LogFolder]] &amp; "\" &amp; T_Channel[[#This Row],[LogFile]]
)</f>
        <v/>
      </c>
      <c r="W636" s="20" t="str">
        <f>IF(
   T_Channel[[#This Row],[Safekeeping of logs]]="",
   "",
   VLOOKUP(T_Channel[[#This Row],[Safekeeping of logs]],T_List_LogMode[],2,FALSE)
)</f>
        <v/>
      </c>
      <c r="X636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637" spans="2:24" x14ac:dyDescent="0.45">
      <c r="B637" s="7"/>
      <c r="C637" s="7"/>
      <c r="D637" s="7"/>
      <c r="E637" s="7"/>
      <c r="F637" s="6"/>
      <c r="G637" s="6"/>
      <c r="H637" s="6"/>
      <c r="I637" s="6"/>
      <c r="J637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637" s="21"/>
      <c r="L637" s="7"/>
      <c r="M637" s="41"/>
      <c r="N637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637" s="26" t="str">
        <f>IF(
   T_Channel[[#This Row],[ProviderName]]="",
   "",
   COUNTIF($N$12:$N$9982,T_Channel[[#This Row],[ProviderName]])
)</f>
        <v/>
      </c>
      <c r="P637" s="26" t="str">
        <f>IF(
   T_Channel[[#This Row],[Check]]&lt;&gt;"OK",
   "",
   IF(
      T_Channel[[#This Row],[Query]]="",
      "Empty",
      "Defined"
   )
)</f>
        <v/>
      </c>
      <c r="Q637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637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637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63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637" s="20" t="str">
        <f>IF(
   T_Channel[[#This Row],[Check]]&lt;&gt;"OK",
   "",
   T_Channel[[#This Row],[ChannelSymbol]] &amp; ".evtx"
)</f>
        <v/>
      </c>
      <c r="V637" s="20" t="str">
        <f>IF(
   T_Channel[[#This Row],[Check]]&lt;&gt;"OK",
   "",
   T_Channel[[#This Row],[LogFolder]] &amp; "\" &amp; T_Channel[[#This Row],[LogFile]]
)</f>
        <v/>
      </c>
      <c r="W637" s="20" t="str">
        <f>IF(
   T_Channel[[#This Row],[Safekeeping of logs]]="",
   "",
   VLOOKUP(T_Channel[[#This Row],[Safekeeping of logs]],T_List_LogMode[],2,FALSE)
)</f>
        <v/>
      </c>
      <c r="X637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638" spans="2:24" x14ac:dyDescent="0.45">
      <c r="B638" s="7"/>
      <c r="C638" s="7"/>
      <c r="D638" s="7"/>
      <c r="E638" s="7"/>
      <c r="F638" s="6"/>
      <c r="G638" s="6"/>
      <c r="H638" s="6"/>
      <c r="I638" s="6"/>
      <c r="J638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638" s="21"/>
      <c r="L638" s="7"/>
      <c r="M638" s="41"/>
      <c r="N638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638" s="26" t="str">
        <f>IF(
   T_Channel[[#This Row],[ProviderName]]="",
   "",
   COUNTIF($N$12:$N$9982,T_Channel[[#This Row],[ProviderName]])
)</f>
        <v/>
      </c>
      <c r="P638" s="26" t="str">
        <f>IF(
   T_Channel[[#This Row],[Check]]&lt;&gt;"OK",
   "",
   IF(
      T_Channel[[#This Row],[Query]]="",
      "Empty",
      "Defined"
   )
)</f>
        <v/>
      </c>
      <c r="Q638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638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638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63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638" s="20" t="str">
        <f>IF(
   T_Channel[[#This Row],[Check]]&lt;&gt;"OK",
   "",
   T_Channel[[#This Row],[ChannelSymbol]] &amp; ".evtx"
)</f>
        <v/>
      </c>
      <c r="V638" s="20" t="str">
        <f>IF(
   T_Channel[[#This Row],[Check]]&lt;&gt;"OK",
   "",
   T_Channel[[#This Row],[LogFolder]] &amp; "\" &amp; T_Channel[[#This Row],[LogFile]]
)</f>
        <v/>
      </c>
      <c r="W638" s="20" t="str">
        <f>IF(
   T_Channel[[#This Row],[Safekeeping of logs]]="",
   "",
   VLOOKUP(T_Channel[[#This Row],[Safekeeping of logs]],T_List_LogMode[],2,FALSE)
)</f>
        <v/>
      </c>
      <c r="X638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639" spans="2:24" x14ac:dyDescent="0.45">
      <c r="B639" s="7"/>
      <c r="C639" s="7"/>
      <c r="D639" s="7"/>
      <c r="E639" s="7"/>
      <c r="F639" s="6"/>
      <c r="G639" s="6"/>
      <c r="H639" s="6"/>
      <c r="I639" s="6"/>
      <c r="J639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639" s="21"/>
      <c r="L639" s="7"/>
      <c r="M639" s="41"/>
      <c r="N639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639" s="26" t="str">
        <f>IF(
   T_Channel[[#This Row],[ProviderName]]="",
   "",
   COUNTIF($N$12:$N$9982,T_Channel[[#This Row],[ProviderName]])
)</f>
        <v/>
      </c>
      <c r="P639" s="26" t="str">
        <f>IF(
   T_Channel[[#This Row],[Check]]&lt;&gt;"OK",
   "",
   IF(
      T_Channel[[#This Row],[Query]]="",
      "Empty",
      "Defined"
   )
)</f>
        <v/>
      </c>
      <c r="Q639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639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639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63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639" s="20" t="str">
        <f>IF(
   T_Channel[[#This Row],[Check]]&lt;&gt;"OK",
   "",
   T_Channel[[#This Row],[ChannelSymbol]] &amp; ".evtx"
)</f>
        <v/>
      </c>
      <c r="V639" s="20" t="str">
        <f>IF(
   T_Channel[[#This Row],[Check]]&lt;&gt;"OK",
   "",
   T_Channel[[#This Row],[LogFolder]] &amp; "\" &amp; T_Channel[[#This Row],[LogFile]]
)</f>
        <v/>
      </c>
      <c r="W639" s="20" t="str">
        <f>IF(
   T_Channel[[#This Row],[Safekeeping of logs]]="",
   "",
   VLOOKUP(T_Channel[[#This Row],[Safekeeping of logs]],T_List_LogMode[],2,FALSE)
)</f>
        <v/>
      </c>
      <c r="X639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640" spans="2:24" x14ac:dyDescent="0.45">
      <c r="B640" s="7"/>
      <c r="C640" s="7"/>
      <c r="D640" s="7"/>
      <c r="E640" s="7"/>
      <c r="F640" s="6"/>
      <c r="G640" s="6"/>
      <c r="H640" s="6"/>
      <c r="I640" s="6"/>
      <c r="J640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640" s="21"/>
      <c r="L640" s="7"/>
      <c r="M640" s="41"/>
      <c r="N640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640" s="26" t="str">
        <f>IF(
   T_Channel[[#This Row],[ProviderName]]="",
   "",
   COUNTIF($N$12:$N$9982,T_Channel[[#This Row],[ProviderName]])
)</f>
        <v/>
      </c>
      <c r="P640" s="26" t="str">
        <f>IF(
   T_Channel[[#This Row],[Check]]&lt;&gt;"OK",
   "",
   IF(
      T_Channel[[#This Row],[Query]]="",
      "Empty",
      "Defined"
   )
)</f>
        <v/>
      </c>
      <c r="Q640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640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640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64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640" s="20" t="str">
        <f>IF(
   T_Channel[[#This Row],[Check]]&lt;&gt;"OK",
   "",
   T_Channel[[#This Row],[ChannelSymbol]] &amp; ".evtx"
)</f>
        <v/>
      </c>
      <c r="V640" s="20" t="str">
        <f>IF(
   T_Channel[[#This Row],[Check]]&lt;&gt;"OK",
   "",
   T_Channel[[#This Row],[LogFolder]] &amp; "\" &amp; T_Channel[[#This Row],[LogFile]]
)</f>
        <v/>
      </c>
      <c r="W640" s="20" t="str">
        <f>IF(
   T_Channel[[#This Row],[Safekeeping of logs]]="",
   "",
   VLOOKUP(T_Channel[[#This Row],[Safekeeping of logs]],T_List_LogMode[],2,FALSE)
)</f>
        <v/>
      </c>
      <c r="X640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641" spans="2:24" x14ac:dyDescent="0.45">
      <c r="B641" s="7"/>
      <c r="C641" s="7"/>
      <c r="D641" s="7"/>
      <c r="E641" s="7"/>
      <c r="F641" s="6"/>
      <c r="G641" s="6"/>
      <c r="H641" s="6"/>
      <c r="I641" s="6"/>
      <c r="J641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641" s="21"/>
      <c r="L641" s="7"/>
      <c r="M641" s="41"/>
      <c r="N641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641" s="26" t="str">
        <f>IF(
   T_Channel[[#This Row],[ProviderName]]="",
   "",
   COUNTIF($N$12:$N$9982,T_Channel[[#This Row],[ProviderName]])
)</f>
        <v/>
      </c>
      <c r="P641" s="26" t="str">
        <f>IF(
   T_Channel[[#This Row],[Check]]&lt;&gt;"OK",
   "",
   IF(
      T_Channel[[#This Row],[Query]]="",
      "Empty",
      "Defined"
   )
)</f>
        <v/>
      </c>
      <c r="Q641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641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641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64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641" s="20" t="str">
        <f>IF(
   T_Channel[[#This Row],[Check]]&lt;&gt;"OK",
   "",
   T_Channel[[#This Row],[ChannelSymbol]] &amp; ".evtx"
)</f>
        <v/>
      </c>
      <c r="V641" s="20" t="str">
        <f>IF(
   T_Channel[[#This Row],[Check]]&lt;&gt;"OK",
   "",
   T_Channel[[#This Row],[LogFolder]] &amp; "\" &amp; T_Channel[[#This Row],[LogFile]]
)</f>
        <v/>
      </c>
      <c r="W641" s="20" t="str">
        <f>IF(
   T_Channel[[#This Row],[Safekeeping of logs]]="",
   "",
   VLOOKUP(T_Channel[[#This Row],[Safekeeping of logs]],T_List_LogMode[],2,FALSE)
)</f>
        <v/>
      </c>
      <c r="X641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642" spans="2:24" x14ac:dyDescent="0.45">
      <c r="B642" s="7"/>
      <c r="C642" s="7"/>
      <c r="D642" s="7"/>
      <c r="E642" s="7"/>
      <c r="F642" s="6"/>
      <c r="G642" s="6"/>
      <c r="H642" s="6"/>
      <c r="I642" s="6"/>
      <c r="J642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642" s="21"/>
      <c r="L642" s="7"/>
      <c r="M642" s="41"/>
      <c r="N642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642" s="26" t="str">
        <f>IF(
   T_Channel[[#This Row],[ProviderName]]="",
   "",
   COUNTIF($N$12:$N$9982,T_Channel[[#This Row],[ProviderName]])
)</f>
        <v/>
      </c>
      <c r="P642" s="26" t="str">
        <f>IF(
   T_Channel[[#This Row],[Check]]&lt;&gt;"OK",
   "",
   IF(
      T_Channel[[#This Row],[Query]]="",
      "Empty",
      "Defined"
   )
)</f>
        <v/>
      </c>
      <c r="Q642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642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642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64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642" s="20" t="str">
        <f>IF(
   T_Channel[[#This Row],[Check]]&lt;&gt;"OK",
   "",
   T_Channel[[#This Row],[ChannelSymbol]] &amp; ".evtx"
)</f>
        <v/>
      </c>
      <c r="V642" s="20" t="str">
        <f>IF(
   T_Channel[[#This Row],[Check]]&lt;&gt;"OK",
   "",
   T_Channel[[#This Row],[LogFolder]] &amp; "\" &amp; T_Channel[[#This Row],[LogFile]]
)</f>
        <v/>
      </c>
      <c r="W642" s="20" t="str">
        <f>IF(
   T_Channel[[#This Row],[Safekeeping of logs]]="",
   "",
   VLOOKUP(T_Channel[[#This Row],[Safekeeping of logs]],T_List_LogMode[],2,FALSE)
)</f>
        <v/>
      </c>
      <c r="X642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643" spans="2:24" x14ac:dyDescent="0.45">
      <c r="B643" s="7"/>
      <c r="C643" s="7"/>
      <c r="D643" s="7"/>
      <c r="E643" s="7"/>
      <c r="F643" s="6"/>
      <c r="G643" s="6"/>
      <c r="H643" s="6"/>
      <c r="I643" s="6"/>
      <c r="J643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643" s="21"/>
      <c r="L643" s="7"/>
      <c r="M643" s="41"/>
      <c r="N643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643" s="26" t="str">
        <f>IF(
   T_Channel[[#This Row],[ProviderName]]="",
   "",
   COUNTIF($N$12:$N$9982,T_Channel[[#This Row],[ProviderName]])
)</f>
        <v/>
      </c>
      <c r="P643" s="26" t="str">
        <f>IF(
   T_Channel[[#This Row],[Check]]&lt;&gt;"OK",
   "",
   IF(
      T_Channel[[#This Row],[Query]]="",
      "Empty",
      "Defined"
   )
)</f>
        <v/>
      </c>
      <c r="Q643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643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643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64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643" s="20" t="str">
        <f>IF(
   T_Channel[[#This Row],[Check]]&lt;&gt;"OK",
   "",
   T_Channel[[#This Row],[ChannelSymbol]] &amp; ".evtx"
)</f>
        <v/>
      </c>
      <c r="V643" s="20" t="str">
        <f>IF(
   T_Channel[[#This Row],[Check]]&lt;&gt;"OK",
   "",
   T_Channel[[#This Row],[LogFolder]] &amp; "\" &amp; T_Channel[[#This Row],[LogFile]]
)</f>
        <v/>
      </c>
      <c r="W643" s="20" t="str">
        <f>IF(
   T_Channel[[#This Row],[Safekeeping of logs]]="",
   "",
   VLOOKUP(T_Channel[[#This Row],[Safekeeping of logs]],T_List_LogMode[],2,FALSE)
)</f>
        <v/>
      </c>
      <c r="X643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644" spans="2:24" x14ac:dyDescent="0.45">
      <c r="B644" s="7"/>
      <c r="C644" s="7"/>
      <c r="D644" s="7"/>
      <c r="E644" s="7"/>
      <c r="F644" s="6"/>
      <c r="G644" s="6"/>
      <c r="H644" s="6"/>
      <c r="I644" s="6"/>
      <c r="J644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644" s="21"/>
      <c r="L644" s="7"/>
      <c r="M644" s="41"/>
      <c r="N644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644" s="26" t="str">
        <f>IF(
   T_Channel[[#This Row],[ProviderName]]="",
   "",
   COUNTIF($N$12:$N$9982,T_Channel[[#This Row],[ProviderName]])
)</f>
        <v/>
      </c>
      <c r="P644" s="26" t="str">
        <f>IF(
   T_Channel[[#This Row],[Check]]&lt;&gt;"OK",
   "",
   IF(
      T_Channel[[#This Row],[Query]]="",
      "Empty",
      "Defined"
   )
)</f>
        <v/>
      </c>
      <c r="Q644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644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644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64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644" s="20" t="str">
        <f>IF(
   T_Channel[[#This Row],[Check]]&lt;&gt;"OK",
   "",
   T_Channel[[#This Row],[ChannelSymbol]] &amp; ".evtx"
)</f>
        <v/>
      </c>
      <c r="V644" s="20" t="str">
        <f>IF(
   T_Channel[[#This Row],[Check]]&lt;&gt;"OK",
   "",
   T_Channel[[#This Row],[LogFolder]] &amp; "\" &amp; T_Channel[[#This Row],[LogFile]]
)</f>
        <v/>
      </c>
      <c r="W644" s="20" t="str">
        <f>IF(
   T_Channel[[#This Row],[Safekeeping of logs]]="",
   "",
   VLOOKUP(T_Channel[[#This Row],[Safekeeping of logs]],T_List_LogMode[],2,FALSE)
)</f>
        <v/>
      </c>
      <c r="X644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645" spans="2:24" x14ac:dyDescent="0.45">
      <c r="B645" s="7"/>
      <c r="C645" s="7"/>
      <c r="D645" s="7"/>
      <c r="E645" s="7"/>
      <c r="F645" s="6"/>
      <c r="G645" s="6"/>
      <c r="H645" s="6"/>
      <c r="I645" s="6"/>
      <c r="J645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645" s="21"/>
      <c r="L645" s="7"/>
      <c r="M645" s="41"/>
      <c r="N645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645" s="26" t="str">
        <f>IF(
   T_Channel[[#This Row],[ProviderName]]="",
   "",
   COUNTIF($N$12:$N$9982,T_Channel[[#This Row],[ProviderName]])
)</f>
        <v/>
      </c>
      <c r="P645" s="26" t="str">
        <f>IF(
   T_Channel[[#This Row],[Check]]&lt;&gt;"OK",
   "",
   IF(
      T_Channel[[#This Row],[Query]]="",
      "Empty",
      "Defined"
   )
)</f>
        <v/>
      </c>
      <c r="Q645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645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645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64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645" s="20" t="str">
        <f>IF(
   T_Channel[[#This Row],[Check]]&lt;&gt;"OK",
   "",
   T_Channel[[#This Row],[ChannelSymbol]] &amp; ".evtx"
)</f>
        <v/>
      </c>
      <c r="V645" s="20" t="str">
        <f>IF(
   T_Channel[[#This Row],[Check]]&lt;&gt;"OK",
   "",
   T_Channel[[#This Row],[LogFolder]] &amp; "\" &amp; T_Channel[[#This Row],[LogFile]]
)</f>
        <v/>
      </c>
      <c r="W645" s="20" t="str">
        <f>IF(
   T_Channel[[#This Row],[Safekeeping of logs]]="",
   "",
   VLOOKUP(T_Channel[[#This Row],[Safekeeping of logs]],T_List_LogMode[],2,FALSE)
)</f>
        <v/>
      </c>
      <c r="X645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646" spans="2:24" x14ac:dyDescent="0.45">
      <c r="B646" s="7"/>
      <c r="C646" s="7"/>
      <c r="D646" s="7"/>
      <c r="E646" s="7"/>
      <c r="F646" s="6"/>
      <c r="G646" s="6"/>
      <c r="H646" s="6"/>
      <c r="I646" s="6"/>
      <c r="J646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646" s="21"/>
      <c r="L646" s="7"/>
      <c r="M646" s="41"/>
      <c r="N646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646" s="26" t="str">
        <f>IF(
   T_Channel[[#This Row],[ProviderName]]="",
   "",
   COUNTIF($N$12:$N$9982,T_Channel[[#This Row],[ProviderName]])
)</f>
        <v/>
      </c>
      <c r="P646" s="26" t="str">
        <f>IF(
   T_Channel[[#This Row],[Check]]&lt;&gt;"OK",
   "",
   IF(
      T_Channel[[#This Row],[Query]]="",
      "Empty",
      "Defined"
   )
)</f>
        <v/>
      </c>
      <c r="Q646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646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646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64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646" s="20" t="str">
        <f>IF(
   T_Channel[[#This Row],[Check]]&lt;&gt;"OK",
   "",
   T_Channel[[#This Row],[ChannelSymbol]] &amp; ".evtx"
)</f>
        <v/>
      </c>
      <c r="V646" s="20" t="str">
        <f>IF(
   T_Channel[[#This Row],[Check]]&lt;&gt;"OK",
   "",
   T_Channel[[#This Row],[LogFolder]] &amp; "\" &amp; T_Channel[[#This Row],[LogFile]]
)</f>
        <v/>
      </c>
      <c r="W646" s="20" t="str">
        <f>IF(
   T_Channel[[#This Row],[Safekeeping of logs]]="",
   "",
   VLOOKUP(T_Channel[[#This Row],[Safekeeping of logs]],T_List_LogMode[],2,FALSE)
)</f>
        <v/>
      </c>
      <c r="X646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647" spans="2:24" x14ac:dyDescent="0.45">
      <c r="B647" s="7"/>
      <c r="C647" s="7"/>
      <c r="D647" s="7"/>
      <c r="E647" s="7"/>
      <c r="F647" s="6"/>
      <c r="G647" s="6"/>
      <c r="H647" s="6"/>
      <c r="I647" s="6"/>
      <c r="J647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647" s="21"/>
      <c r="L647" s="7"/>
      <c r="M647" s="41"/>
      <c r="N647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647" s="26" t="str">
        <f>IF(
   T_Channel[[#This Row],[ProviderName]]="",
   "",
   COUNTIF($N$12:$N$9982,T_Channel[[#This Row],[ProviderName]])
)</f>
        <v/>
      </c>
      <c r="P647" s="26" t="str">
        <f>IF(
   T_Channel[[#This Row],[Check]]&lt;&gt;"OK",
   "",
   IF(
      T_Channel[[#This Row],[Query]]="",
      "Empty",
      "Defined"
   )
)</f>
        <v/>
      </c>
      <c r="Q647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647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647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64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647" s="20" t="str">
        <f>IF(
   T_Channel[[#This Row],[Check]]&lt;&gt;"OK",
   "",
   T_Channel[[#This Row],[ChannelSymbol]] &amp; ".evtx"
)</f>
        <v/>
      </c>
      <c r="V647" s="20" t="str">
        <f>IF(
   T_Channel[[#This Row],[Check]]&lt;&gt;"OK",
   "",
   T_Channel[[#This Row],[LogFolder]] &amp; "\" &amp; T_Channel[[#This Row],[LogFile]]
)</f>
        <v/>
      </c>
      <c r="W647" s="20" t="str">
        <f>IF(
   T_Channel[[#This Row],[Safekeeping of logs]]="",
   "",
   VLOOKUP(T_Channel[[#This Row],[Safekeeping of logs]],T_List_LogMode[],2,FALSE)
)</f>
        <v/>
      </c>
      <c r="X647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648" spans="2:24" x14ac:dyDescent="0.45">
      <c r="B648" s="7"/>
      <c r="C648" s="7"/>
      <c r="D648" s="7"/>
      <c r="E648" s="7"/>
      <c r="F648" s="6"/>
      <c r="G648" s="6"/>
      <c r="H648" s="6"/>
      <c r="I648" s="6"/>
      <c r="J648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648" s="21"/>
      <c r="L648" s="7"/>
      <c r="M648" s="41"/>
      <c r="N648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648" s="26" t="str">
        <f>IF(
   T_Channel[[#This Row],[ProviderName]]="",
   "",
   COUNTIF($N$12:$N$9982,T_Channel[[#This Row],[ProviderName]])
)</f>
        <v/>
      </c>
      <c r="P648" s="26" t="str">
        <f>IF(
   T_Channel[[#This Row],[Check]]&lt;&gt;"OK",
   "",
   IF(
      T_Channel[[#This Row],[Query]]="",
      "Empty",
      "Defined"
   )
)</f>
        <v/>
      </c>
      <c r="Q648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648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648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64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648" s="20" t="str">
        <f>IF(
   T_Channel[[#This Row],[Check]]&lt;&gt;"OK",
   "",
   T_Channel[[#This Row],[ChannelSymbol]] &amp; ".evtx"
)</f>
        <v/>
      </c>
      <c r="V648" s="20" t="str">
        <f>IF(
   T_Channel[[#This Row],[Check]]&lt;&gt;"OK",
   "",
   T_Channel[[#This Row],[LogFolder]] &amp; "\" &amp; T_Channel[[#This Row],[LogFile]]
)</f>
        <v/>
      </c>
      <c r="W648" s="20" t="str">
        <f>IF(
   T_Channel[[#This Row],[Safekeeping of logs]]="",
   "",
   VLOOKUP(T_Channel[[#This Row],[Safekeeping of logs]],T_List_LogMode[],2,FALSE)
)</f>
        <v/>
      </c>
      <c r="X648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649" spans="2:24" x14ac:dyDescent="0.45">
      <c r="B649" s="7"/>
      <c r="C649" s="7"/>
      <c r="D649" s="7"/>
      <c r="E649" s="7"/>
      <c r="F649" s="6"/>
      <c r="G649" s="6"/>
      <c r="H649" s="6"/>
      <c r="I649" s="6"/>
      <c r="J649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649" s="21"/>
      <c r="L649" s="7"/>
      <c r="M649" s="41"/>
      <c r="N649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649" s="26" t="str">
        <f>IF(
   T_Channel[[#This Row],[ProviderName]]="",
   "",
   COUNTIF($N$12:$N$9982,T_Channel[[#This Row],[ProviderName]])
)</f>
        <v/>
      </c>
      <c r="P649" s="26" t="str">
        <f>IF(
   T_Channel[[#This Row],[Check]]&lt;&gt;"OK",
   "",
   IF(
      T_Channel[[#This Row],[Query]]="",
      "Empty",
      "Defined"
   )
)</f>
        <v/>
      </c>
      <c r="Q649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649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649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64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649" s="20" t="str">
        <f>IF(
   T_Channel[[#This Row],[Check]]&lt;&gt;"OK",
   "",
   T_Channel[[#This Row],[ChannelSymbol]] &amp; ".evtx"
)</f>
        <v/>
      </c>
      <c r="V649" s="20" t="str">
        <f>IF(
   T_Channel[[#This Row],[Check]]&lt;&gt;"OK",
   "",
   T_Channel[[#This Row],[LogFolder]] &amp; "\" &amp; T_Channel[[#This Row],[LogFile]]
)</f>
        <v/>
      </c>
      <c r="W649" s="20" t="str">
        <f>IF(
   T_Channel[[#This Row],[Safekeeping of logs]]="",
   "",
   VLOOKUP(T_Channel[[#This Row],[Safekeeping of logs]],T_List_LogMode[],2,FALSE)
)</f>
        <v/>
      </c>
      <c r="X649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650" spans="2:24" x14ac:dyDescent="0.45">
      <c r="B650" s="7"/>
      <c r="C650" s="7"/>
      <c r="D650" s="7"/>
      <c r="E650" s="7"/>
      <c r="F650" s="6"/>
      <c r="G650" s="6"/>
      <c r="H650" s="6"/>
      <c r="I650" s="6"/>
      <c r="J650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650" s="21"/>
      <c r="L650" s="7"/>
      <c r="M650" s="41"/>
      <c r="N650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650" s="26" t="str">
        <f>IF(
   T_Channel[[#This Row],[ProviderName]]="",
   "",
   COUNTIF($N$12:$N$9982,T_Channel[[#This Row],[ProviderName]])
)</f>
        <v/>
      </c>
      <c r="P650" s="26" t="str">
        <f>IF(
   T_Channel[[#This Row],[Check]]&lt;&gt;"OK",
   "",
   IF(
      T_Channel[[#This Row],[Query]]="",
      "Empty",
      "Defined"
   )
)</f>
        <v/>
      </c>
      <c r="Q650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650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650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65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650" s="20" t="str">
        <f>IF(
   T_Channel[[#This Row],[Check]]&lt;&gt;"OK",
   "",
   T_Channel[[#This Row],[ChannelSymbol]] &amp; ".evtx"
)</f>
        <v/>
      </c>
      <c r="V650" s="20" t="str">
        <f>IF(
   T_Channel[[#This Row],[Check]]&lt;&gt;"OK",
   "",
   T_Channel[[#This Row],[LogFolder]] &amp; "\" &amp; T_Channel[[#This Row],[LogFile]]
)</f>
        <v/>
      </c>
      <c r="W650" s="20" t="str">
        <f>IF(
   T_Channel[[#This Row],[Safekeeping of logs]]="",
   "",
   VLOOKUP(T_Channel[[#This Row],[Safekeeping of logs]],T_List_LogMode[],2,FALSE)
)</f>
        <v/>
      </c>
      <c r="X650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651" spans="2:24" x14ac:dyDescent="0.45">
      <c r="B651" s="7"/>
      <c r="C651" s="7"/>
      <c r="D651" s="7"/>
      <c r="E651" s="7"/>
      <c r="F651" s="6"/>
      <c r="G651" s="6"/>
      <c r="H651" s="6"/>
      <c r="I651" s="6"/>
      <c r="J651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651" s="21"/>
      <c r="L651" s="7"/>
      <c r="M651" s="41"/>
      <c r="N651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651" s="26" t="str">
        <f>IF(
   T_Channel[[#This Row],[ProviderName]]="",
   "",
   COUNTIF($N$12:$N$9982,T_Channel[[#This Row],[ProviderName]])
)</f>
        <v/>
      </c>
      <c r="P651" s="26" t="str">
        <f>IF(
   T_Channel[[#This Row],[Check]]&lt;&gt;"OK",
   "",
   IF(
      T_Channel[[#This Row],[Query]]="",
      "Empty",
      "Defined"
   )
)</f>
        <v/>
      </c>
      <c r="Q651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651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651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65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651" s="20" t="str">
        <f>IF(
   T_Channel[[#This Row],[Check]]&lt;&gt;"OK",
   "",
   T_Channel[[#This Row],[ChannelSymbol]] &amp; ".evtx"
)</f>
        <v/>
      </c>
      <c r="V651" s="20" t="str">
        <f>IF(
   T_Channel[[#This Row],[Check]]&lt;&gt;"OK",
   "",
   T_Channel[[#This Row],[LogFolder]] &amp; "\" &amp; T_Channel[[#This Row],[LogFile]]
)</f>
        <v/>
      </c>
      <c r="W651" s="20" t="str">
        <f>IF(
   T_Channel[[#This Row],[Safekeeping of logs]]="",
   "",
   VLOOKUP(T_Channel[[#This Row],[Safekeeping of logs]],T_List_LogMode[],2,FALSE)
)</f>
        <v/>
      </c>
      <c r="X651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652" spans="2:24" x14ac:dyDescent="0.45">
      <c r="B652" s="7"/>
      <c r="C652" s="7"/>
      <c r="D652" s="7"/>
      <c r="E652" s="7"/>
      <c r="F652" s="6"/>
      <c r="G652" s="6"/>
      <c r="H652" s="6"/>
      <c r="I652" s="6"/>
      <c r="J652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652" s="21"/>
      <c r="L652" s="7"/>
      <c r="M652" s="41"/>
      <c r="N652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652" s="26" t="str">
        <f>IF(
   T_Channel[[#This Row],[ProviderName]]="",
   "",
   COUNTIF($N$12:$N$9982,T_Channel[[#This Row],[ProviderName]])
)</f>
        <v/>
      </c>
      <c r="P652" s="26" t="str">
        <f>IF(
   T_Channel[[#This Row],[Check]]&lt;&gt;"OK",
   "",
   IF(
      T_Channel[[#This Row],[Query]]="",
      "Empty",
      "Defined"
   )
)</f>
        <v/>
      </c>
      <c r="Q652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652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652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65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652" s="20" t="str">
        <f>IF(
   T_Channel[[#This Row],[Check]]&lt;&gt;"OK",
   "",
   T_Channel[[#This Row],[ChannelSymbol]] &amp; ".evtx"
)</f>
        <v/>
      </c>
      <c r="V652" s="20" t="str">
        <f>IF(
   T_Channel[[#This Row],[Check]]&lt;&gt;"OK",
   "",
   T_Channel[[#This Row],[LogFolder]] &amp; "\" &amp; T_Channel[[#This Row],[LogFile]]
)</f>
        <v/>
      </c>
      <c r="W652" s="20" t="str">
        <f>IF(
   T_Channel[[#This Row],[Safekeeping of logs]]="",
   "",
   VLOOKUP(T_Channel[[#This Row],[Safekeeping of logs]],T_List_LogMode[],2,FALSE)
)</f>
        <v/>
      </c>
      <c r="X652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653" spans="2:24" x14ac:dyDescent="0.45">
      <c r="B653" s="7"/>
      <c r="C653" s="7"/>
      <c r="D653" s="7"/>
      <c r="E653" s="7"/>
      <c r="F653" s="6"/>
      <c r="G653" s="6"/>
      <c r="H653" s="6"/>
      <c r="I653" s="6"/>
      <c r="J653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653" s="21"/>
      <c r="L653" s="7"/>
      <c r="M653" s="41"/>
      <c r="N653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653" s="26" t="str">
        <f>IF(
   T_Channel[[#This Row],[ProviderName]]="",
   "",
   COUNTIF($N$12:$N$9982,T_Channel[[#This Row],[ProviderName]])
)</f>
        <v/>
      </c>
      <c r="P653" s="26" t="str">
        <f>IF(
   T_Channel[[#This Row],[Check]]&lt;&gt;"OK",
   "",
   IF(
      T_Channel[[#This Row],[Query]]="",
      "Empty",
      "Defined"
   )
)</f>
        <v/>
      </c>
      <c r="Q653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653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653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65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653" s="20" t="str">
        <f>IF(
   T_Channel[[#This Row],[Check]]&lt;&gt;"OK",
   "",
   T_Channel[[#This Row],[ChannelSymbol]] &amp; ".evtx"
)</f>
        <v/>
      </c>
      <c r="V653" s="20" t="str">
        <f>IF(
   T_Channel[[#This Row],[Check]]&lt;&gt;"OK",
   "",
   T_Channel[[#This Row],[LogFolder]] &amp; "\" &amp; T_Channel[[#This Row],[LogFile]]
)</f>
        <v/>
      </c>
      <c r="W653" s="20" t="str">
        <f>IF(
   T_Channel[[#This Row],[Safekeeping of logs]]="",
   "",
   VLOOKUP(T_Channel[[#This Row],[Safekeeping of logs]],T_List_LogMode[],2,FALSE)
)</f>
        <v/>
      </c>
      <c r="X653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654" spans="2:24" x14ac:dyDescent="0.45">
      <c r="B654" s="7"/>
      <c r="C654" s="7"/>
      <c r="D654" s="7"/>
      <c r="E654" s="7"/>
      <c r="F654" s="6"/>
      <c r="G654" s="6"/>
      <c r="H654" s="6"/>
      <c r="I654" s="6"/>
      <c r="J654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654" s="21"/>
      <c r="L654" s="7"/>
      <c r="M654" s="41"/>
      <c r="N654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654" s="26" t="str">
        <f>IF(
   T_Channel[[#This Row],[ProviderName]]="",
   "",
   COUNTIF($N$12:$N$9982,T_Channel[[#This Row],[ProviderName]])
)</f>
        <v/>
      </c>
      <c r="P654" s="26" t="str">
        <f>IF(
   T_Channel[[#This Row],[Check]]&lt;&gt;"OK",
   "",
   IF(
      T_Channel[[#This Row],[Query]]="",
      "Empty",
      "Defined"
   )
)</f>
        <v/>
      </c>
      <c r="Q654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654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654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65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654" s="20" t="str">
        <f>IF(
   T_Channel[[#This Row],[Check]]&lt;&gt;"OK",
   "",
   T_Channel[[#This Row],[ChannelSymbol]] &amp; ".evtx"
)</f>
        <v/>
      </c>
      <c r="V654" s="20" t="str">
        <f>IF(
   T_Channel[[#This Row],[Check]]&lt;&gt;"OK",
   "",
   T_Channel[[#This Row],[LogFolder]] &amp; "\" &amp; T_Channel[[#This Row],[LogFile]]
)</f>
        <v/>
      </c>
      <c r="W654" s="20" t="str">
        <f>IF(
   T_Channel[[#This Row],[Safekeeping of logs]]="",
   "",
   VLOOKUP(T_Channel[[#This Row],[Safekeeping of logs]],T_List_LogMode[],2,FALSE)
)</f>
        <v/>
      </c>
      <c r="X654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655" spans="2:24" x14ac:dyDescent="0.45">
      <c r="B655" s="7"/>
      <c r="C655" s="7"/>
      <c r="D655" s="7"/>
      <c r="E655" s="7"/>
      <c r="F655" s="6"/>
      <c r="G655" s="6"/>
      <c r="H655" s="6"/>
      <c r="I655" s="6"/>
      <c r="J655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655" s="21"/>
      <c r="L655" s="7"/>
      <c r="M655" s="41"/>
      <c r="N655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655" s="26" t="str">
        <f>IF(
   T_Channel[[#This Row],[ProviderName]]="",
   "",
   COUNTIF($N$12:$N$9982,T_Channel[[#This Row],[ProviderName]])
)</f>
        <v/>
      </c>
      <c r="P655" s="26" t="str">
        <f>IF(
   T_Channel[[#This Row],[Check]]&lt;&gt;"OK",
   "",
   IF(
      T_Channel[[#This Row],[Query]]="",
      "Empty",
      "Defined"
   )
)</f>
        <v/>
      </c>
      <c r="Q655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655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655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65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655" s="20" t="str">
        <f>IF(
   T_Channel[[#This Row],[Check]]&lt;&gt;"OK",
   "",
   T_Channel[[#This Row],[ChannelSymbol]] &amp; ".evtx"
)</f>
        <v/>
      </c>
      <c r="V655" s="20" t="str">
        <f>IF(
   T_Channel[[#This Row],[Check]]&lt;&gt;"OK",
   "",
   T_Channel[[#This Row],[LogFolder]] &amp; "\" &amp; T_Channel[[#This Row],[LogFile]]
)</f>
        <v/>
      </c>
      <c r="W655" s="20" t="str">
        <f>IF(
   T_Channel[[#This Row],[Safekeeping of logs]]="",
   "",
   VLOOKUP(T_Channel[[#This Row],[Safekeeping of logs]],T_List_LogMode[],2,FALSE)
)</f>
        <v/>
      </c>
      <c r="X655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656" spans="2:24" x14ac:dyDescent="0.45">
      <c r="B656" s="7"/>
      <c r="C656" s="7"/>
      <c r="D656" s="7"/>
      <c r="E656" s="7"/>
      <c r="F656" s="6"/>
      <c r="G656" s="6"/>
      <c r="H656" s="6"/>
      <c r="I656" s="6"/>
      <c r="J656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656" s="21"/>
      <c r="L656" s="7"/>
      <c r="M656" s="41"/>
      <c r="N656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656" s="26" t="str">
        <f>IF(
   T_Channel[[#This Row],[ProviderName]]="",
   "",
   COUNTIF($N$12:$N$9982,T_Channel[[#This Row],[ProviderName]])
)</f>
        <v/>
      </c>
      <c r="P656" s="26" t="str">
        <f>IF(
   T_Channel[[#This Row],[Check]]&lt;&gt;"OK",
   "",
   IF(
      T_Channel[[#This Row],[Query]]="",
      "Empty",
      "Defined"
   )
)</f>
        <v/>
      </c>
      <c r="Q656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656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656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65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656" s="20" t="str">
        <f>IF(
   T_Channel[[#This Row],[Check]]&lt;&gt;"OK",
   "",
   T_Channel[[#This Row],[ChannelSymbol]] &amp; ".evtx"
)</f>
        <v/>
      </c>
      <c r="V656" s="20" t="str">
        <f>IF(
   T_Channel[[#This Row],[Check]]&lt;&gt;"OK",
   "",
   T_Channel[[#This Row],[LogFolder]] &amp; "\" &amp; T_Channel[[#This Row],[LogFile]]
)</f>
        <v/>
      </c>
      <c r="W656" s="20" t="str">
        <f>IF(
   T_Channel[[#This Row],[Safekeeping of logs]]="",
   "",
   VLOOKUP(T_Channel[[#This Row],[Safekeeping of logs]],T_List_LogMode[],2,FALSE)
)</f>
        <v/>
      </c>
      <c r="X656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657" spans="2:24" x14ac:dyDescent="0.45">
      <c r="B657" s="7"/>
      <c r="C657" s="7"/>
      <c r="D657" s="7"/>
      <c r="E657" s="7"/>
      <c r="F657" s="6"/>
      <c r="G657" s="6"/>
      <c r="H657" s="6"/>
      <c r="I657" s="6"/>
      <c r="J657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657" s="21"/>
      <c r="L657" s="7"/>
      <c r="M657" s="41"/>
      <c r="N657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657" s="26" t="str">
        <f>IF(
   T_Channel[[#This Row],[ProviderName]]="",
   "",
   COUNTIF($N$12:$N$9982,T_Channel[[#This Row],[ProviderName]])
)</f>
        <v/>
      </c>
      <c r="P657" s="26" t="str">
        <f>IF(
   T_Channel[[#This Row],[Check]]&lt;&gt;"OK",
   "",
   IF(
      T_Channel[[#This Row],[Query]]="",
      "Empty",
      "Defined"
   )
)</f>
        <v/>
      </c>
      <c r="Q657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657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657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65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657" s="20" t="str">
        <f>IF(
   T_Channel[[#This Row],[Check]]&lt;&gt;"OK",
   "",
   T_Channel[[#This Row],[ChannelSymbol]] &amp; ".evtx"
)</f>
        <v/>
      </c>
      <c r="V657" s="20" t="str">
        <f>IF(
   T_Channel[[#This Row],[Check]]&lt;&gt;"OK",
   "",
   T_Channel[[#This Row],[LogFolder]] &amp; "\" &amp; T_Channel[[#This Row],[LogFile]]
)</f>
        <v/>
      </c>
      <c r="W657" s="20" t="str">
        <f>IF(
   T_Channel[[#This Row],[Safekeeping of logs]]="",
   "",
   VLOOKUP(T_Channel[[#This Row],[Safekeeping of logs]],T_List_LogMode[],2,FALSE)
)</f>
        <v/>
      </c>
      <c r="X657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658" spans="2:24" x14ac:dyDescent="0.45">
      <c r="B658" s="7"/>
      <c r="C658" s="7"/>
      <c r="D658" s="7"/>
      <c r="E658" s="7"/>
      <c r="F658" s="6"/>
      <c r="G658" s="6"/>
      <c r="H658" s="6"/>
      <c r="I658" s="6"/>
      <c r="J658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658" s="21"/>
      <c r="L658" s="7"/>
      <c r="M658" s="41"/>
      <c r="N658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658" s="26" t="str">
        <f>IF(
   T_Channel[[#This Row],[ProviderName]]="",
   "",
   COUNTIF($N$12:$N$9982,T_Channel[[#This Row],[ProviderName]])
)</f>
        <v/>
      </c>
      <c r="P658" s="26" t="str">
        <f>IF(
   T_Channel[[#This Row],[Check]]&lt;&gt;"OK",
   "",
   IF(
      T_Channel[[#This Row],[Query]]="",
      "Empty",
      "Defined"
   )
)</f>
        <v/>
      </c>
      <c r="Q658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658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658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65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658" s="20" t="str">
        <f>IF(
   T_Channel[[#This Row],[Check]]&lt;&gt;"OK",
   "",
   T_Channel[[#This Row],[ChannelSymbol]] &amp; ".evtx"
)</f>
        <v/>
      </c>
      <c r="V658" s="20" t="str">
        <f>IF(
   T_Channel[[#This Row],[Check]]&lt;&gt;"OK",
   "",
   T_Channel[[#This Row],[LogFolder]] &amp; "\" &amp; T_Channel[[#This Row],[LogFile]]
)</f>
        <v/>
      </c>
      <c r="W658" s="20" t="str">
        <f>IF(
   T_Channel[[#This Row],[Safekeeping of logs]]="",
   "",
   VLOOKUP(T_Channel[[#This Row],[Safekeeping of logs]],T_List_LogMode[],2,FALSE)
)</f>
        <v/>
      </c>
      <c r="X658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659" spans="2:24" x14ac:dyDescent="0.45">
      <c r="B659" s="7"/>
      <c r="C659" s="7"/>
      <c r="D659" s="7"/>
      <c r="E659" s="7"/>
      <c r="F659" s="6"/>
      <c r="G659" s="6"/>
      <c r="H659" s="6"/>
      <c r="I659" s="6"/>
      <c r="J659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659" s="21"/>
      <c r="L659" s="7"/>
      <c r="M659" s="41"/>
      <c r="N659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659" s="26" t="str">
        <f>IF(
   T_Channel[[#This Row],[ProviderName]]="",
   "",
   COUNTIF($N$12:$N$9982,T_Channel[[#This Row],[ProviderName]])
)</f>
        <v/>
      </c>
      <c r="P659" s="26" t="str">
        <f>IF(
   T_Channel[[#This Row],[Check]]&lt;&gt;"OK",
   "",
   IF(
      T_Channel[[#This Row],[Query]]="",
      "Empty",
      "Defined"
   )
)</f>
        <v/>
      </c>
      <c r="Q659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659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659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65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659" s="20" t="str">
        <f>IF(
   T_Channel[[#This Row],[Check]]&lt;&gt;"OK",
   "",
   T_Channel[[#This Row],[ChannelSymbol]] &amp; ".evtx"
)</f>
        <v/>
      </c>
      <c r="V659" s="20" t="str">
        <f>IF(
   T_Channel[[#This Row],[Check]]&lt;&gt;"OK",
   "",
   T_Channel[[#This Row],[LogFolder]] &amp; "\" &amp; T_Channel[[#This Row],[LogFile]]
)</f>
        <v/>
      </c>
      <c r="W659" s="20" t="str">
        <f>IF(
   T_Channel[[#This Row],[Safekeeping of logs]]="",
   "",
   VLOOKUP(T_Channel[[#This Row],[Safekeeping of logs]],T_List_LogMode[],2,FALSE)
)</f>
        <v/>
      </c>
      <c r="X659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660" spans="2:24" x14ac:dyDescent="0.45">
      <c r="B660" s="7"/>
      <c r="C660" s="7"/>
      <c r="D660" s="7"/>
      <c r="E660" s="7"/>
      <c r="F660" s="6"/>
      <c r="G660" s="6"/>
      <c r="H660" s="6"/>
      <c r="I660" s="6"/>
      <c r="J660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660" s="21"/>
      <c r="L660" s="7"/>
      <c r="M660" s="41"/>
      <c r="N660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660" s="26" t="str">
        <f>IF(
   T_Channel[[#This Row],[ProviderName]]="",
   "",
   COUNTIF($N$12:$N$9982,T_Channel[[#This Row],[ProviderName]])
)</f>
        <v/>
      </c>
      <c r="P660" s="26" t="str">
        <f>IF(
   T_Channel[[#This Row],[Check]]&lt;&gt;"OK",
   "",
   IF(
      T_Channel[[#This Row],[Query]]="",
      "Empty",
      "Defined"
   )
)</f>
        <v/>
      </c>
      <c r="Q660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660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660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66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660" s="20" t="str">
        <f>IF(
   T_Channel[[#This Row],[Check]]&lt;&gt;"OK",
   "",
   T_Channel[[#This Row],[ChannelSymbol]] &amp; ".evtx"
)</f>
        <v/>
      </c>
      <c r="V660" s="20" t="str">
        <f>IF(
   T_Channel[[#This Row],[Check]]&lt;&gt;"OK",
   "",
   T_Channel[[#This Row],[LogFolder]] &amp; "\" &amp; T_Channel[[#This Row],[LogFile]]
)</f>
        <v/>
      </c>
      <c r="W660" s="20" t="str">
        <f>IF(
   T_Channel[[#This Row],[Safekeeping of logs]]="",
   "",
   VLOOKUP(T_Channel[[#This Row],[Safekeeping of logs]],T_List_LogMode[],2,FALSE)
)</f>
        <v/>
      </c>
      <c r="X660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661" spans="2:24" x14ac:dyDescent="0.45">
      <c r="B661" s="7"/>
      <c r="C661" s="7"/>
      <c r="D661" s="7"/>
      <c r="E661" s="7"/>
      <c r="F661" s="6"/>
      <c r="G661" s="6"/>
      <c r="H661" s="6"/>
      <c r="I661" s="6"/>
      <c r="J661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661" s="21"/>
      <c r="L661" s="7"/>
      <c r="M661" s="41"/>
      <c r="N661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661" s="26" t="str">
        <f>IF(
   T_Channel[[#This Row],[ProviderName]]="",
   "",
   COUNTIF($N$12:$N$9982,T_Channel[[#This Row],[ProviderName]])
)</f>
        <v/>
      </c>
      <c r="P661" s="26" t="str">
        <f>IF(
   T_Channel[[#This Row],[Check]]&lt;&gt;"OK",
   "",
   IF(
      T_Channel[[#This Row],[Query]]="",
      "Empty",
      "Defined"
   )
)</f>
        <v/>
      </c>
      <c r="Q661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661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661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66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661" s="20" t="str">
        <f>IF(
   T_Channel[[#This Row],[Check]]&lt;&gt;"OK",
   "",
   T_Channel[[#This Row],[ChannelSymbol]] &amp; ".evtx"
)</f>
        <v/>
      </c>
      <c r="V661" s="20" t="str">
        <f>IF(
   T_Channel[[#This Row],[Check]]&lt;&gt;"OK",
   "",
   T_Channel[[#This Row],[LogFolder]] &amp; "\" &amp; T_Channel[[#This Row],[LogFile]]
)</f>
        <v/>
      </c>
      <c r="W661" s="20" t="str">
        <f>IF(
   T_Channel[[#This Row],[Safekeeping of logs]]="",
   "",
   VLOOKUP(T_Channel[[#This Row],[Safekeeping of logs]],T_List_LogMode[],2,FALSE)
)</f>
        <v/>
      </c>
      <c r="X661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662" spans="2:24" x14ac:dyDescent="0.45">
      <c r="B662" s="7"/>
      <c r="C662" s="7"/>
      <c r="D662" s="7"/>
      <c r="E662" s="7"/>
      <c r="F662" s="6"/>
      <c r="G662" s="6"/>
      <c r="H662" s="6"/>
      <c r="I662" s="6"/>
      <c r="J662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662" s="21"/>
      <c r="L662" s="7"/>
      <c r="M662" s="41"/>
      <c r="N662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662" s="26" t="str">
        <f>IF(
   T_Channel[[#This Row],[ProviderName]]="",
   "",
   COUNTIF($N$12:$N$9982,T_Channel[[#This Row],[ProviderName]])
)</f>
        <v/>
      </c>
      <c r="P662" s="26" t="str">
        <f>IF(
   T_Channel[[#This Row],[Check]]&lt;&gt;"OK",
   "",
   IF(
      T_Channel[[#This Row],[Query]]="",
      "Empty",
      "Defined"
   )
)</f>
        <v/>
      </c>
      <c r="Q662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662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662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66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662" s="20" t="str">
        <f>IF(
   T_Channel[[#This Row],[Check]]&lt;&gt;"OK",
   "",
   T_Channel[[#This Row],[ChannelSymbol]] &amp; ".evtx"
)</f>
        <v/>
      </c>
      <c r="V662" s="20" t="str">
        <f>IF(
   T_Channel[[#This Row],[Check]]&lt;&gt;"OK",
   "",
   T_Channel[[#This Row],[LogFolder]] &amp; "\" &amp; T_Channel[[#This Row],[LogFile]]
)</f>
        <v/>
      </c>
      <c r="W662" s="20" t="str">
        <f>IF(
   T_Channel[[#This Row],[Safekeeping of logs]]="",
   "",
   VLOOKUP(T_Channel[[#This Row],[Safekeeping of logs]],T_List_LogMode[],2,FALSE)
)</f>
        <v/>
      </c>
      <c r="X662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663" spans="2:24" x14ac:dyDescent="0.45">
      <c r="B663" s="7"/>
      <c r="C663" s="7"/>
      <c r="D663" s="7"/>
      <c r="E663" s="7"/>
      <c r="F663" s="6"/>
      <c r="G663" s="6"/>
      <c r="H663" s="6"/>
      <c r="I663" s="6"/>
      <c r="J663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663" s="21"/>
      <c r="L663" s="7"/>
      <c r="M663" s="41"/>
      <c r="N663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663" s="26" t="str">
        <f>IF(
   T_Channel[[#This Row],[ProviderName]]="",
   "",
   COUNTIF($N$12:$N$9982,T_Channel[[#This Row],[ProviderName]])
)</f>
        <v/>
      </c>
      <c r="P663" s="26" t="str">
        <f>IF(
   T_Channel[[#This Row],[Check]]&lt;&gt;"OK",
   "",
   IF(
      T_Channel[[#This Row],[Query]]="",
      "Empty",
      "Defined"
   )
)</f>
        <v/>
      </c>
      <c r="Q663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663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663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66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663" s="20" t="str">
        <f>IF(
   T_Channel[[#This Row],[Check]]&lt;&gt;"OK",
   "",
   T_Channel[[#This Row],[ChannelSymbol]] &amp; ".evtx"
)</f>
        <v/>
      </c>
      <c r="V663" s="20" t="str">
        <f>IF(
   T_Channel[[#This Row],[Check]]&lt;&gt;"OK",
   "",
   T_Channel[[#This Row],[LogFolder]] &amp; "\" &amp; T_Channel[[#This Row],[LogFile]]
)</f>
        <v/>
      </c>
      <c r="W663" s="20" t="str">
        <f>IF(
   T_Channel[[#This Row],[Safekeeping of logs]]="",
   "",
   VLOOKUP(T_Channel[[#This Row],[Safekeeping of logs]],T_List_LogMode[],2,FALSE)
)</f>
        <v/>
      </c>
      <c r="X663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664" spans="2:24" x14ac:dyDescent="0.45">
      <c r="B664" s="7"/>
      <c r="C664" s="7"/>
      <c r="D664" s="7"/>
      <c r="E664" s="7"/>
      <c r="F664" s="6"/>
      <c r="G664" s="6"/>
      <c r="H664" s="6"/>
      <c r="I664" s="6"/>
      <c r="J664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664" s="21"/>
      <c r="L664" s="7"/>
      <c r="M664" s="41"/>
      <c r="N664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664" s="26" t="str">
        <f>IF(
   T_Channel[[#This Row],[ProviderName]]="",
   "",
   COUNTIF($N$12:$N$9982,T_Channel[[#This Row],[ProviderName]])
)</f>
        <v/>
      </c>
      <c r="P664" s="26" t="str">
        <f>IF(
   T_Channel[[#This Row],[Check]]&lt;&gt;"OK",
   "",
   IF(
      T_Channel[[#This Row],[Query]]="",
      "Empty",
      "Defined"
   )
)</f>
        <v/>
      </c>
      <c r="Q664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664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664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66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664" s="20" t="str">
        <f>IF(
   T_Channel[[#This Row],[Check]]&lt;&gt;"OK",
   "",
   T_Channel[[#This Row],[ChannelSymbol]] &amp; ".evtx"
)</f>
        <v/>
      </c>
      <c r="V664" s="20" t="str">
        <f>IF(
   T_Channel[[#This Row],[Check]]&lt;&gt;"OK",
   "",
   T_Channel[[#This Row],[LogFolder]] &amp; "\" &amp; T_Channel[[#This Row],[LogFile]]
)</f>
        <v/>
      </c>
      <c r="W664" s="20" t="str">
        <f>IF(
   T_Channel[[#This Row],[Safekeeping of logs]]="",
   "",
   VLOOKUP(T_Channel[[#This Row],[Safekeeping of logs]],T_List_LogMode[],2,FALSE)
)</f>
        <v/>
      </c>
      <c r="X664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665" spans="2:24" x14ac:dyDescent="0.45">
      <c r="B665" s="7"/>
      <c r="C665" s="7"/>
      <c r="D665" s="7"/>
      <c r="E665" s="7"/>
      <c r="F665" s="6"/>
      <c r="G665" s="6"/>
      <c r="H665" s="6"/>
      <c r="I665" s="6"/>
      <c r="J665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665" s="21"/>
      <c r="L665" s="7"/>
      <c r="M665" s="41"/>
      <c r="N665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665" s="26" t="str">
        <f>IF(
   T_Channel[[#This Row],[ProviderName]]="",
   "",
   COUNTIF($N$12:$N$9982,T_Channel[[#This Row],[ProviderName]])
)</f>
        <v/>
      </c>
      <c r="P665" s="26" t="str">
        <f>IF(
   T_Channel[[#This Row],[Check]]&lt;&gt;"OK",
   "",
   IF(
      T_Channel[[#This Row],[Query]]="",
      "Empty",
      "Defined"
   )
)</f>
        <v/>
      </c>
      <c r="Q665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665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665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66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665" s="20" t="str">
        <f>IF(
   T_Channel[[#This Row],[Check]]&lt;&gt;"OK",
   "",
   T_Channel[[#This Row],[ChannelSymbol]] &amp; ".evtx"
)</f>
        <v/>
      </c>
      <c r="V665" s="20" t="str">
        <f>IF(
   T_Channel[[#This Row],[Check]]&lt;&gt;"OK",
   "",
   T_Channel[[#This Row],[LogFolder]] &amp; "\" &amp; T_Channel[[#This Row],[LogFile]]
)</f>
        <v/>
      </c>
      <c r="W665" s="20" t="str">
        <f>IF(
   T_Channel[[#This Row],[Safekeeping of logs]]="",
   "",
   VLOOKUP(T_Channel[[#This Row],[Safekeeping of logs]],T_List_LogMode[],2,FALSE)
)</f>
        <v/>
      </c>
      <c r="X665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666" spans="2:24" x14ac:dyDescent="0.45">
      <c r="B666" s="7"/>
      <c r="C666" s="7"/>
      <c r="D666" s="7"/>
      <c r="E666" s="7"/>
      <c r="F666" s="6"/>
      <c r="G666" s="6"/>
      <c r="H666" s="6"/>
      <c r="I666" s="6"/>
      <c r="J666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666" s="21"/>
      <c r="L666" s="7"/>
      <c r="M666" s="41"/>
      <c r="N666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666" s="26" t="str">
        <f>IF(
   T_Channel[[#This Row],[ProviderName]]="",
   "",
   COUNTIF($N$12:$N$9982,T_Channel[[#This Row],[ProviderName]])
)</f>
        <v/>
      </c>
      <c r="P666" s="26" t="str">
        <f>IF(
   T_Channel[[#This Row],[Check]]&lt;&gt;"OK",
   "",
   IF(
      T_Channel[[#This Row],[Query]]="",
      "Empty",
      "Defined"
   )
)</f>
        <v/>
      </c>
      <c r="Q666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666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666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66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666" s="20" t="str">
        <f>IF(
   T_Channel[[#This Row],[Check]]&lt;&gt;"OK",
   "",
   T_Channel[[#This Row],[ChannelSymbol]] &amp; ".evtx"
)</f>
        <v/>
      </c>
      <c r="V666" s="20" t="str">
        <f>IF(
   T_Channel[[#This Row],[Check]]&lt;&gt;"OK",
   "",
   T_Channel[[#This Row],[LogFolder]] &amp; "\" &amp; T_Channel[[#This Row],[LogFile]]
)</f>
        <v/>
      </c>
      <c r="W666" s="20" t="str">
        <f>IF(
   T_Channel[[#This Row],[Safekeeping of logs]]="",
   "",
   VLOOKUP(T_Channel[[#This Row],[Safekeeping of logs]],T_List_LogMode[],2,FALSE)
)</f>
        <v/>
      </c>
      <c r="X666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667" spans="2:24" x14ac:dyDescent="0.45">
      <c r="B667" s="7"/>
      <c r="C667" s="7"/>
      <c r="D667" s="7"/>
      <c r="E667" s="7"/>
      <c r="F667" s="6"/>
      <c r="G667" s="6"/>
      <c r="H667" s="6"/>
      <c r="I667" s="6"/>
      <c r="J667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667" s="21"/>
      <c r="L667" s="7"/>
      <c r="M667" s="41"/>
      <c r="N667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667" s="26" t="str">
        <f>IF(
   T_Channel[[#This Row],[ProviderName]]="",
   "",
   COUNTIF($N$12:$N$9982,T_Channel[[#This Row],[ProviderName]])
)</f>
        <v/>
      </c>
      <c r="P667" s="26" t="str">
        <f>IF(
   T_Channel[[#This Row],[Check]]&lt;&gt;"OK",
   "",
   IF(
      T_Channel[[#This Row],[Query]]="",
      "Empty",
      "Defined"
   )
)</f>
        <v/>
      </c>
      <c r="Q667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667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667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66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667" s="20" t="str">
        <f>IF(
   T_Channel[[#This Row],[Check]]&lt;&gt;"OK",
   "",
   T_Channel[[#This Row],[ChannelSymbol]] &amp; ".evtx"
)</f>
        <v/>
      </c>
      <c r="V667" s="20" t="str">
        <f>IF(
   T_Channel[[#This Row],[Check]]&lt;&gt;"OK",
   "",
   T_Channel[[#This Row],[LogFolder]] &amp; "\" &amp; T_Channel[[#This Row],[LogFile]]
)</f>
        <v/>
      </c>
      <c r="W667" s="20" t="str">
        <f>IF(
   T_Channel[[#This Row],[Safekeeping of logs]]="",
   "",
   VLOOKUP(T_Channel[[#This Row],[Safekeeping of logs]],T_List_LogMode[],2,FALSE)
)</f>
        <v/>
      </c>
      <c r="X667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668" spans="2:24" x14ac:dyDescent="0.45">
      <c r="B668" s="7"/>
      <c r="C668" s="7"/>
      <c r="D668" s="7"/>
      <c r="E668" s="7"/>
      <c r="F668" s="6"/>
      <c r="G668" s="6"/>
      <c r="H668" s="6"/>
      <c r="I668" s="6"/>
      <c r="J668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668" s="21"/>
      <c r="L668" s="7"/>
      <c r="M668" s="41"/>
      <c r="N668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668" s="26" t="str">
        <f>IF(
   T_Channel[[#This Row],[ProviderName]]="",
   "",
   COUNTIF($N$12:$N$9982,T_Channel[[#This Row],[ProviderName]])
)</f>
        <v/>
      </c>
      <c r="P668" s="26" t="str">
        <f>IF(
   T_Channel[[#This Row],[Check]]&lt;&gt;"OK",
   "",
   IF(
      T_Channel[[#This Row],[Query]]="",
      "Empty",
      "Defined"
   )
)</f>
        <v/>
      </c>
      <c r="Q668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668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668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66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668" s="20" t="str">
        <f>IF(
   T_Channel[[#This Row],[Check]]&lt;&gt;"OK",
   "",
   T_Channel[[#This Row],[ChannelSymbol]] &amp; ".evtx"
)</f>
        <v/>
      </c>
      <c r="V668" s="20" t="str">
        <f>IF(
   T_Channel[[#This Row],[Check]]&lt;&gt;"OK",
   "",
   T_Channel[[#This Row],[LogFolder]] &amp; "\" &amp; T_Channel[[#This Row],[LogFile]]
)</f>
        <v/>
      </c>
      <c r="W668" s="20" t="str">
        <f>IF(
   T_Channel[[#This Row],[Safekeeping of logs]]="",
   "",
   VLOOKUP(T_Channel[[#This Row],[Safekeeping of logs]],T_List_LogMode[],2,FALSE)
)</f>
        <v/>
      </c>
      <c r="X668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669" spans="2:24" x14ac:dyDescent="0.45">
      <c r="B669" s="7"/>
      <c r="C669" s="7"/>
      <c r="D669" s="7"/>
      <c r="E669" s="7"/>
      <c r="F669" s="6"/>
      <c r="G669" s="6"/>
      <c r="H669" s="6"/>
      <c r="I669" s="6"/>
      <c r="J669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669" s="21"/>
      <c r="L669" s="7"/>
      <c r="M669" s="41"/>
      <c r="N669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669" s="26" t="str">
        <f>IF(
   T_Channel[[#This Row],[ProviderName]]="",
   "",
   COUNTIF($N$12:$N$9982,T_Channel[[#This Row],[ProviderName]])
)</f>
        <v/>
      </c>
      <c r="P669" s="26" t="str">
        <f>IF(
   T_Channel[[#This Row],[Check]]&lt;&gt;"OK",
   "",
   IF(
      T_Channel[[#This Row],[Query]]="",
      "Empty",
      "Defined"
   )
)</f>
        <v/>
      </c>
      <c r="Q669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669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669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66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669" s="20" t="str">
        <f>IF(
   T_Channel[[#This Row],[Check]]&lt;&gt;"OK",
   "",
   T_Channel[[#This Row],[ChannelSymbol]] &amp; ".evtx"
)</f>
        <v/>
      </c>
      <c r="V669" s="20" t="str">
        <f>IF(
   T_Channel[[#This Row],[Check]]&lt;&gt;"OK",
   "",
   T_Channel[[#This Row],[LogFolder]] &amp; "\" &amp; T_Channel[[#This Row],[LogFile]]
)</f>
        <v/>
      </c>
      <c r="W669" s="20" t="str">
        <f>IF(
   T_Channel[[#This Row],[Safekeeping of logs]]="",
   "",
   VLOOKUP(T_Channel[[#This Row],[Safekeeping of logs]],T_List_LogMode[],2,FALSE)
)</f>
        <v/>
      </c>
      <c r="X669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670" spans="2:24" x14ac:dyDescent="0.45">
      <c r="B670" s="7"/>
      <c r="C670" s="7"/>
      <c r="D670" s="7"/>
      <c r="E670" s="7"/>
      <c r="F670" s="6"/>
      <c r="G670" s="6"/>
      <c r="H670" s="6"/>
      <c r="I670" s="6"/>
      <c r="J670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670" s="21"/>
      <c r="L670" s="7"/>
      <c r="M670" s="41"/>
      <c r="N670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670" s="26" t="str">
        <f>IF(
   T_Channel[[#This Row],[ProviderName]]="",
   "",
   COUNTIF($N$12:$N$9982,T_Channel[[#This Row],[ProviderName]])
)</f>
        <v/>
      </c>
      <c r="P670" s="26" t="str">
        <f>IF(
   T_Channel[[#This Row],[Check]]&lt;&gt;"OK",
   "",
   IF(
      T_Channel[[#This Row],[Query]]="",
      "Empty",
      "Defined"
   )
)</f>
        <v/>
      </c>
      <c r="Q670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670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670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67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670" s="20" t="str">
        <f>IF(
   T_Channel[[#This Row],[Check]]&lt;&gt;"OK",
   "",
   T_Channel[[#This Row],[ChannelSymbol]] &amp; ".evtx"
)</f>
        <v/>
      </c>
      <c r="V670" s="20" t="str">
        <f>IF(
   T_Channel[[#This Row],[Check]]&lt;&gt;"OK",
   "",
   T_Channel[[#This Row],[LogFolder]] &amp; "\" &amp; T_Channel[[#This Row],[LogFile]]
)</f>
        <v/>
      </c>
      <c r="W670" s="20" t="str">
        <f>IF(
   T_Channel[[#This Row],[Safekeeping of logs]]="",
   "",
   VLOOKUP(T_Channel[[#This Row],[Safekeeping of logs]],T_List_LogMode[],2,FALSE)
)</f>
        <v/>
      </c>
      <c r="X670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671" spans="2:24" x14ac:dyDescent="0.45">
      <c r="B671" s="7"/>
      <c r="C671" s="7"/>
      <c r="D671" s="7"/>
      <c r="E671" s="7"/>
      <c r="F671" s="6"/>
      <c r="G671" s="6"/>
      <c r="H671" s="6"/>
      <c r="I671" s="6"/>
      <c r="J671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671" s="21"/>
      <c r="L671" s="7"/>
      <c r="M671" s="41"/>
      <c r="N671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671" s="26" t="str">
        <f>IF(
   T_Channel[[#This Row],[ProviderName]]="",
   "",
   COUNTIF($N$12:$N$9982,T_Channel[[#This Row],[ProviderName]])
)</f>
        <v/>
      </c>
      <c r="P671" s="26" t="str">
        <f>IF(
   T_Channel[[#This Row],[Check]]&lt;&gt;"OK",
   "",
   IF(
      T_Channel[[#This Row],[Query]]="",
      "Empty",
      "Defined"
   )
)</f>
        <v/>
      </c>
      <c r="Q671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671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671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67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671" s="20" t="str">
        <f>IF(
   T_Channel[[#This Row],[Check]]&lt;&gt;"OK",
   "",
   T_Channel[[#This Row],[ChannelSymbol]] &amp; ".evtx"
)</f>
        <v/>
      </c>
      <c r="V671" s="20" t="str">
        <f>IF(
   T_Channel[[#This Row],[Check]]&lt;&gt;"OK",
   "",
   T_Channel[[#This Row],[LogFolder]] &amp; "\" &amp; T_Channel[[#This Row],[LogFile]]
)</f>
        <v/>
      </c>
      <c r="W671" s="20" t="str">
        <f>IF(
   T_Channel[[#This Row],[Safekeeping of logs]]="",
   "",
   VLOOKUP(T_Channel[[#This Row],[Safekeeping of logs]],T_List_LogMode[],2,FALSE)
)</f>
        <v/>
      </c>
      <c r="X671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672" spans="2:24" x14ac:dyDescent="0.45">
      <c r="B672" s="7"/>
      <c r="C672" s="7"/>
      <c r="D672" s="7"/>
      <c r="E672" s="7"/>
      <c r="F672" s="6"/>
      <c r="G672" s="6"/>
      <c r="H672" s="6"/>
      <c r="I672" s="6"/>
      <c r="J672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672" s="21"/>
      <c r="L672" s="7"/>
      <c r="M672" s="41"/>
      <c r="N672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672" s="26" t="str">
        <f>IF(
   T_Channel[[#This Row],[ProviderName]]="",
   "",
   COUNTIF($N$12:$N$9982,T_Channel[[#This Row],[ProviderName]])
)</f>
        <v/>
      </c>
      <c r="P672" s="26" t="str">
        <f>IF(
   T_Channel[[#This Row],[Check]]&lt;&gt;"OK",
   "",
   IF(
      T_Channel[[#This Row],[Query]]="",
      "Empty",
      "Defined"
   )
)</f>
        <v/>
      </c>
      <c r="Q672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672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672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67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672" s="20" t="str">
        <f>IF(
   T_Channel[[#This Row],[Check]]&lt;&gt;"OK",
   "",
   T_Channel[[#This Row],[ChannelSymbol]] &amp; ".evtx"
)</f>
        <v/>
      </c>
      <c r="V672" s="20" t="str">
        <f>IF(
   T_Channel[[#This Row],[Check]]&lt;&gt;"OK",
   "",
   T_Channel[[#This Row],[LogFolder]] &amp; "\" &amp; T_Channel[[#This Row],[LogFile]]
)</f>
        <v/>
      </c>
      <c r="W672" s="20" t="str">
        <f>IF(
   T_Channel[[#This Row],[Safekeeping of logs]]="",
   "",
   VLOOKUP(T_Channel[[#This Row],[Safekeeping of logs]],T_List_LogMode[],2,FALSE)
)</f>
        <v/>
      </c>
      <c r="X672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673" spans="2:24" x14ac:dyDescent="0.45">
      <c r="B673" s="7"/>
      <c r="C673" s="7"/>
      <c r="D673" s="7"/>
      <c r="E673" s="7"/>
      <c r="F673" s="6"/>
      <c r="G673" s="6"/>
      <c r="H673" s="6"/>
      <c r="I673" s="6"/>
      <c r="J673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673" s="21"/>
      <c r="L673" s="7"/>
      <c r="M673" s="41"/>
      <c r="N673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673" s="26" t="str">
        <f>IF(
   T_Channel[[#This Row],[ProviderName]]="",
   "",
   COUNTIF($N$12:$N$9982,T_Channel[[#This Row],[ProviderName]])
)</f>
        <v/>
      </c>
      <c r="P673" s="26" t="str">
        <f>IF(
   T_Channel[[#This Row],[Check]]&lt;&gt;"OK",
   "",
   IF(
      T_Channel[[#This Row],[Query]]="",
      "Empty",
      "Defined"
   )
)</f>
        <v/>
      </c>
      <c r="Q673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673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673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67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673" s="20" t="str">
        <f>IF(
   T_Channel[[#This Row],[Check]]&lt;&gt;"OK",
   "",
   T_Channel[[#This Row],[ChannelSymbol]] &amp; ".evtx"
)</f>
        <v/>
      </c>
      <c r="V673" s="20" t="str">
        <f>IF(
   T_Channel[[#This Row],[Check]]&lt;&gt;"OK",
   "",
   T_Channel[[#This Row],[LogFolder]] &amp; "\" &amp; T_Channel[[#This Row],[LogFile]]
)</f>
        <v/>
      </c>
      <c r="W673" s="20" t="str">
        <f>IF(
   T_Channel[[#This Row],[Safekeeping of logs]]="",
   "",
   VLOOKUP(T_Channel[[#This Row],[Safekeeping of logs]],T_List_LogMode[],2,FALSE)
)</f>
        <v/>
      </c>
      <c r="X673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674" spans="2:24" x14ac:dyDescent="0.45">
      <c r="B674" s="7"/>
      <c r="C674" s="7"/>
      <c r="D674" s="7"/>
      <c r="E674" s="7"/>
      <c r="F674" s="6"/>
      <c r="G674" s="6"/>
      <c r="H674" s="6"/>
      <c r="I674" s="6"/>
      <c r="J674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674" s="21"/>
      <c r="L674" s="7"/>
      <c r="M674" s="41"/>
      <c r="N674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674" s="26" t="str">
        <f>IF(
   T_Channel[[#This Row],[ProviderName]]="",
   "",
   COUNTIF($N$12:$N$9982,T_Channel[[#This Row],[ProviderName]])
)</f>
        <v/>
      </c>
      <c r="P674" s="26" t="str">
        <f>IF(
   T_Channel[[#This Row],[Check]]&lt;&gt;"OK",
   "",
   IF(
      T_Channel[[#This Row],[Query]]="",
      "Empty",
      "Defined"
   )
)</f>
        <v/>
      </c>
      <c r="Q674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674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674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67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674" s="20" t="str">
        <f>IF(
   T_Channel[[#This Row],[Check]]&lt;&gt;"OK",
   "",
   T_Channel[[#This Row],[ChannelSymbol]] &amp; ".evtx"
)</f>
        <v/>
      </c>
      <c r="V674" s="20" t="str">
        <f>IF(
   T_Channel[[#This Row],[Check]]&lt;&gt;"OK",
   "",
   T_Channel[[#This Row],[LogFolder]] &amp; "\" &amp; T_Channel[[#This Row],[LogFile]]
)</f>
        <v/>
      </c>
      <c r="W674" s="20" t="str">
        <f>IF(
   T_Channel[[#This Row],[Safekeeping of logs]]="",
   "",
   VLOOKUP(T_Channel[[#This Row],[Safekeeping of logs]],T_List_LogMode[],2,FALSE)
)</f>
        <v/>
      </c>
      <c r="X674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675" spans="2:24" x14ac:dyDescent="0.45">
      <c r="B675" s="7"/>
      <c r="C675" s="7"/>
      <c r="D675" s="7"/>
      <c r="E675" s="7"/>
      <c r="F675" s="6"/>
      <c r="G675" s="6"/>
      <c r="H675" s="6"/>
      <c r="I675" s="6"/>
      <c r="J675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675" s="21"/>
      <c r="L675" s="7"/>
      <c r="M675" s="41"/>
      <c r="N675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675" s="26" t="str">
        <f>IF(
   T_Channel[[#This Row],[ProviderName]]="",
   "",
   COUNTIF($N$12:$N$9982,T_Channel[[#This Row],[ProviderName]])
)</f>
        <v/>
      </c>
      <c r="P675" s="26" t="str">
        <f>IF(
   T_Channel[[#This Row],[Check]]&lt;&gt;"OK",
   "",
   IF(
      T_Channel[[#This Row],[Query]]="",
      "Empty",
      "Defined"
   )
)</f>
        <v/>
      </c>
      <c r="Q675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675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675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67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675" s="20" t="str">
        <f>IF(
   T_Channel[[#This Row],[Check]]&lt;&gt;"OK",
   "",
   T_Channel[[#This Row],[ChannelSymbol]] &amp; ".evtx"
)</f>
        <v/>
      </c>
      <c r="V675" s="20" t="str">
        <f>IF(
   T_Channel[[#This Row],[Check]]&lt;&gt;"OK",
   "",
   T_Channel[[#This Row],[LogFolder]] &amp; "\" &amp; T_Channel[[#This Row],[LogFile]]
)</f>
        <v/>
      </c>
      <c r="W675" s="20" t="str">
        <f>IF(
   T_Channel[[#This Row],[Safekeeping of logs]]="",
   "",
   VLOOKUP(T_Channel[[#This Row],[Safekeeping of logs]],T_List_LogMode[],2,FALSE)
)</f>
        <v/>
      </c>
      <c r="X675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676" spans="2:24" x14ac:dyDescent="0.45">
      <c r="B676" s="7"/>
      <c r="C676" s="7"/>
      <c r="D676" s="7"/>
      <c r="E676" s="7"/>
      <c r="F676" s="6"/>
      <c r="G676" s="6"/>
      <c r="H676" s="6"/>
      <c r="I676" s="6"/>
      <c r="J676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676" s="21"/>
      <c r="L676" s="7"/>
      <c r="M676" s="41"/>
      <c r="N676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676" s="26" t="str">
        <f>IF(
   T_Channel[[#This Row],[ProviderName]]="",
   "",
   COUNTIF($N$12:$N$9982,T_Channel[[#This Row],[ProviderName]])
)</f>
        <v/>
      </c>
      <c r="P676" s="26" t="str">
        <f>IF(
   T_Channel[[#This Row],[Check]]&lt;&gt;"OK",
   "",
   IF(
      T_Channel[[#This Row],[Query]]="",
      "Empty",
      "Defined"
   )
)</f>
        <v/>
      </c>
      <c r="Q676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676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676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67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676" s="20" t="str">
        <f>IF(
   T_Channel[[#This Row],[Check]]&lt;&gt;"OK",
   "",
   T_Channel[[#This Row],[ChannelSymbol]] &amp; ".evtx"
)</f>
        <v/>
      </c>
      <c r="V676" s="20" t="str">
        <f>IF(
   T_Channel[[#This Row],[Check]]&lt;&gt;"OK",
   "",
   T_Channel[[#This Row],[LogFolder]] &amp; "\" &amp; T_Channel[[#This Row],[LogFile]]
)</f>
        <v/>
      </c>
      <c r="W676" s="20" t="str">
        <f>IF(
   T_Channel[[#This Row],[Safekeeping of logs]]="",
   "",
   VLOOKUP(T_Channel[[#This Row],[Safekeeping of logs]],T_List_LogMode[],2,FALSE)
)</f>
        <v/>
      </c>
      <c r="X676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677" spans="2:24" x14ac:dyDescent="0.45">
      <c r="B677" s="7"/>
      <c r="C677" s="7"/>
      <c r="D677" s="7"/>
      <c r="E677" s="7"/>
      <c r="F677" s="6"/>
      <c r="G677" s="6"/>
      <c r="H677" s="6"/>
      <c r="I677" s="6"/>
      <c r="J677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677" s="21"/>
      <c r="L677" s="7"/>
      <c r="M677" s="41"/>
      <c r="N677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677" s="26" t="str">
        <f>IF(
   T_Channel[[#This Row],[ProviderName]]="",
   "",
   COUNTIF($N$12:$N$9982,T_Channel[[#This Row],[ProviderName]])
)</f>
        <v/>
      </c>
      <c r="P677" s="26" t="str">
        <f>IF(
   T_Channel[[#This Row],[Check]]&lt;&gt;"OK",
   "",
   IF(
      T_Channel[[#This Row],[Query]]="",
      "Empty",
      "Defined"
   )
)</f>
        <v/>
      </c>
      <c r="Q677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677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677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67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677" s="20" t="str">
        <f>IF(
   T_Channel[[#This Row],[Check]]&lt;&gt;"OK",
   "",
   T_Channel[[#This Row],[ChannelSymbol]] &amp; ".evtx"
)</f>
        <v/>
      </c>
      <c r="V677" s="20" t="str">
        <f>IF(
   T_Channel[[#This Row],[Check]]&lt;&gt;"OK",
   "",
   T_Channel[[#This Row],[LogFolder]] &amp; "\" &amp; T_Channel[[#This Row],[LogFile]]
)</f>
        <v/>
      </c>
      <c r="W677" s="20" t="str">
        <f>IF(
   T_Channel[[#This Row],[Safekeeping of logs]]="",
   "",
   VLOOKUP(T_Channel[[#This Row],[Safekeeping of logs]],T_List_LogMode[],2,FALSE)
)</f>
        <v/>
      </c>
      <c r="X677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678" spans="2:24" x14ac:dyDescent="0.45">
      <c r="B678" s="7"/>
      <c r="C678" s="7"/>
      <c r="D678" s="7"/>
      <c r="E678" s="7"/>
      <c r="F678" s="6"/>
      <c r="G678" s="6"/>
      <c r="H678" s="6"/>
      <c r="I678" s="6"/>
      <c r="J678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678" s="21"/>
      <c r="L678" s="7"/>
      <c r="M678" s="41"/>
      <c r="N678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678" s="26" t="str">
        <f>IF(
   T_Channel[[#This Row],[ProviderName]]="",
   "",
   COUNTIF($N$12:$N$9982,T_Channel[[#This Row],[ProviderName]])
)</f>
        <v/>
      </c>
      <c r="P678" s="26" t="str">
        <f>IF(
   T_Channel[[#This Row],[Check]]&lt;&gt;"OK",
   "",
   IF(
      T_Channel[[#This Row],[Query]]="",
      "Empty",
      "Defined"
   )
)</f>
        <v/>
      </c>
      <c r="Q678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678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678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67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678" s="20" t="str">
        <f>IF(
   T_Channel[[#This Row],[Check]]&lt;&gt;"OK",
   "",
   T_Channel[[#This Row],[ChannelSymbol]] &amp; ".evtx"
)</f>
        <v/>
      </c>
      <c r="V678" s="20" t="str">
        <f>IF(
   T_Channel[[#This Row],[Check]]&lt;&gt;"OK",
   "",
   T_Channel[[#This Row],[LogFolder]] &amp; "\" &amp; T_Channel[[#This Row],[LogFile]]
)</f>
        <v/>
      </c>
      <c r="W678" s="20" t="str">
        <f>IF(
   T_Channel[[#This Row],[Safekeeping of logs]]="",
   "",
   VLOOKUP(T_Channel[[#This Row],[Safekeeping of logs]],T_List_LogMode[],2,FALSE)
)</f>
        <v/>
      </c>
      <c r="X678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679" spans="2:24" x14ac:dyDescent="0.45">
      <c r="B679" s="7"/>
      <c r="C679" s="7"/>
      <c r="D679" s="7"/>
      <c r="E679" s="7"/>
      <c r="F679" s="6"/>
      <c r="G679" s="6"/>
      <c r="H679" s="6"/>
      <c r="I679" s="6"/>
      <c r="J679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679" s="21"/>
      <c r="L679" s="7"/>
      <c r="M679" s="41"/>
      <c r="N679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679" s="26" t="str">
        <f>IF(
   T_Channel[[#This Row],[ProviderName]]="",
   "",
   COUNTIF($N$12:$N$9982,T_Channel[[#This Row],[ProviderName]])
)</f>
        <v/>
      </c>
      <c r="P679" s="26" t="str">
        <f>IF(
   T_Channel[[#This Row],[Check]]&lt;&gt;"OK",
   "",
   IF(
      T_Channel[[#This Row],[Query]]="",
      "Empty",
      "Defined"
   )
)</f>
        <v/>
      </c>
      <c r="Q679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679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679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67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679" s="20" t="str">
        <f>IF(
   T_Channel[[#This Row],[Check]]&lt;&gt;"OK",
   "",
   T_Channel[[#This Row],[ChannelSymbol]] &amp; ".evtx"
)</f>
        <v/>
      </c>
      <c r="V679" s="20" t="str">
        <f>IF(
   T_Channel[[#This Row],[Check]]&lt;&gt;"OK",
   "",
   T_Channel[[#This Row],[LogFolder]] &amp; "\" &amp; T_Channel[[#This Row],[LogFile]]
)</f>
        <v/>
      </c>
      <c r="W679" s="20" t="str">
        <f>IF(
   T_Channel[[#This Row],[Safekeeping of logs]]="",
   "",
   VLOOKUP(T_Channel[[#This Row],[Safekeeping of logs]],T_List_LogMode[],2,FALSE)
)</f>
        <v/>
      </c>
      <c r="X679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680" spans="2:24" x14ac:dyDescent="0.45">
      <c r="B680" s="7"/>
      <c r="C680" s="7"/>
      <c r="D680" s="7"/>
      <c r="E680" s="7"/>
      <c r="F680" s="6"/>
      <c r="G680" s="6"/>
      <c r="H680" s="6"/>
      <c r="I680" s="6"/>
      <c r="J680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680" s="21"/>
      <c r="L680" s="7"/>
      <c r="M680" s="41"/>
      <c r="N680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680" s="26" t="str">
        <f>IF(
   T_Channel[[#This Row],[ProviderName]]="",
   "",
   COUNTIF($N$12:$N$9982,T_Channel[[#This Row],[ProviderName]])
)</f>
        <v/>
      </c>
      <c r="P680" s="26" t="str">
        <f>IF(
   T_Channel[[#This Row],[Check]]&lt;&gt;"OK",
   "",
   IF(
      T_Channel[[#This Row],[Query]]="",
      "Empty",
      "Defined"
   )
)</f>
        <v/>
      </c>
      <c r="Q680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680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680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68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680" s="20" t="str">
        <f>IF(
   T_Channel[[#This Row],[Check]]&lt;&gt;"OK",
   "",
   T_Channel[[#This Row],[ChannelSymbol]] &amp; ".evtx"
)</f>
        <v/>
      </c>
      <c r="V680" s="20" t="str">
        <f>IF(
   T_Channel[[#This Row],[Check]]&lt;&gt;"OK",
   "",
   T_Channel[[#This Row],[LogFolder]] &amp; "\" &amp; T_Channel[[#This Row],[LogFile]]
)</f>
        <v/>
      </c>
      <c r="W680" s="20" t="str">
        <f>IF(
   T_Channel[[#This Row],[Safekeeping of logs]]="",
   "",
   VLOOKUP(T_Channel[[#This Row],[Safekeeping of logs]],T_List_LogMode[],2,FALSE)
)</f>
        <v/>
      </c>
      <c r="X680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681" spans="2:24" x14ac:dyDescent="0.45">
      <c r="B681" s="7"/>
      <c r="C681" s="7"/>
      <c r="D681" s="7"/>
      <c r="E681" s="7"/>
      <c r="F681" s="6"/>
      <c r="G681" s="6"/>
      <c r="H681" s="6"/>
      <c r="I681" s="6"/>
      <c r="J681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681" s="21"/>
      <c r="L681" s="7"/>
      <c r="M681" s="41"/>
      <c r="N681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681" s="26" t="str">
        <f>IF(
   T_Channel[[#This Row],[ProviderName]]="",
   "",
   COUNTIF($N$12:$N$9982,T_Channel[[#This Row],[ProviderName]])
)</f>
        <v/>
      </c>
      <c r="P681" s="26" t="str">
        <f>IF(
   T_Channel[[#This Row],[Check]]&lt;&gt;"OK",
   "",
   IF(
      T_Channel[[#This Row],[Query]]="",
      "Empty",
      "Defined"
   )
)</f>
        <v/>
      </c>
      <c r="Q681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681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681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68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681" s="20" t="str">
        <f>IF(
   T_Channel[[#This Row],[Check]]&lt;&gt;"OK",
   "",
   T_Channel[[#This Row],[ChannelSymbol]] &amp; ".evtx"
)</f>
        <v/>
      </c>
      <c r="V681" s="20" t="str">
        <f>IF(
   T_Channel[[#This Row],[Check]]&lt;&gt;"OK",
   "",
   T_Channel[[#This Row],[LogFolder]] &amp; "\" &amp; T_Channel[[#This Row],[LogFile]]
)</f>
        <v/>
      </c>
      <c r="W681" s="20" t="str">
        <f>IF(
   T_Channel[[#This Row],[Safekeeping of logs]]="",
   "",
   VLOOKUP(T_Channel[[#This Row],[Safekeeping of logs]],T_List_LogMode[],2,FALSE)
)</f>
        <v/>
      </c>
      <c r="X681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682" spans="2:24" x14ac:dyDescent="0.45">
      <c r="B682" s="7"/>
      <c r="C682" s="7"/>
      <c r="D682" s="7"/>
      <c r="E682" s="7"/>
      <c r="F682" s="6"/>
      <c r="G682" s="6"/>
      <c r="H682" s="6"/>
      <c r="I682" s="6"/>
      <c r="J682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682" s="21"/>
      <c r="L682" s="7"/>
      <c r="M682" s="41"/>
      <c r="N682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682" s="26" t="str">
        <f>IF(
   T_Channel[[#This Row],[ProviderName]]="",
   "",
   COUNTIF($N$12:$N$9982,T_Channel[[#This Row],[ProviderName]])
)</f>
        <v/>
      </c>
      <c r="P682" s="26" t="str">
        <f>IF(
   T_Channel[[#This Row],[Check]]&lt;&gt;"OK",
   "",
   IF(
      T_Channel[[#This Row],[Query]]="",
      "Empty",
      "Defined"
   )
)</f>
        <v/>
      </c>
      <c r="Q682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682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682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68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682" s="20" t="str">
        <f>IF(
   T_Channel[[#This Row],[Check]]&lt;&gt;"OK",
   "",
   T_Channel[[#This Row],[ChannelSymbol]] &amp; ".evtx"
)</f>
        <v/>
      </c>
      <c r="V682" s="20" t="str">
        <f>IF(
   T_Channel[[#This Row],[Check]]&lt;&gt;"OK",
   "",
   T_Channel[[#This Row],[LogFolder]] &amp; "\" &amp; T_Channel[[#This Row],[LogFile]]
)</f>
        <v/>
      </c>
      <c r="W682" s="20" t="str">
        <f>IF(
   T_Channel[[#This Row],[Safekeeping of logs]]="",
   "",
   VLOOKUP(T_Channel[[#This Row],[Safekeeping of logs]],T_List_LogMode[],2,FALSE)
)</f>
        <v/>
      </c>
      <c r="X682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683" spans="2:24" x14ac:dyDescent="0.45">
      <c r="B683" s="7"/>
      <c r="C683" s="7"/>
      <c r="D683" s="7"/>
      <c r="E683" s="7"/>
      <c r="F683" s="6"/>
      <c r="G683" s="6"/>
      <c r="H683" s="6"/>
      <c r="I683" s="6"/>
      <c r="J683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683" s="21"/>
      <c r="L683" s="7"/>
      <c r="M683" s="41"/>
      <c r="N683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683" s="26" t="str">
        <f>IF(
   T_Channel[[#This Row],[ProviderName]]="",
   "",
   COUNTIF($N$12:$N$9982,T_Channel[[#This Row],[ProviderName]])
)</f>
        <v/>
      </c>
      <c r="P683" s="26" t="str">
        <f>IF(
   T_Channel[[#This Row],[Check]]&lt;&gt;"OK",
   "",
   IF(
      T_Channel[[#This Row],[Query]]="",
      "Empty",
      "Defined"
   )
)</f>
        <v/>
      </c>
      <c r="Q683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683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683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68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683" s="20" t="str">
        <f>IF(
   T_Channel[[#This Row],[Check]]&lt;&gt;"OK",
   "",
   T_Channel[[#This Row],[ChannelSymbol]] &amp; ".evtx"
)</f>
        <v/>
      </c>
      <c r="V683" s="20" t="str">
        <f>IF(
   T_Channel[[#This Row],[Check]]&lt;&gt;"OK",
   "",
   T_Channel[[#This Row],[LogFolder]] &amp; "\" &amp; T_Channel[[#This Row],[LogFile]]
)</f>
        <v/>
      </c>
      <c r="W683" s="20" t="str">
        <f>IF(
   T_Channel[[#This Row],[Safekeeping of logs]]="",
   "",
   VLOOKUP(T_Channel[[#This Row],[Safekeeping of logs]],T_List_LogMode[],2,FALSE)
)</f>
        <v/>
      </c>
      <c r="X683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684" spans="2:24" x14ac:dyDescent="0.45">
      <c r="B684" s="7"/>
      <c r="C684" s="7"/>
      <c r="D684" s="7"/>
      <c r="E684" s="7"/>
      <c r="F684" s="6"/>
      <c r="G684" s="6"/>
      <c r="H684" s="6"/>
      <c r="I684" s="6"/>
      <c r="J684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684" s="21"/>
      <c r="L684" s="7"/>
      <c r="M684" s="41"/>
      <c r="N684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684" s="26" t="str">
        <f>IF(
   T_Channel[[#This Row],[ProviderName]]="",
   "",
   COUNTIF($N$12:$N$9982,T_Channel[[#This Row],[ProviderName]])
)</f>
        <v/>
      </c>
      <c r="P684" s="26" t="str">
        <f>IF(
   T_Channel[[#This Row],[Check]]&lt;&gt;"OK",
   "",
   IF(
      T_Channel[[#This Row],[Query]]="",
      "Empty",
      "Defined"
   )
)</f>
        <v/>
      </c>
      <c r="Q684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684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684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68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684" s="20" t="str">
        <f>IF(
   T_Channel[[#This Row],[Check]]&lt;&gt;"OK",
   "",
   T_Channel[[#This Row],[ChannelSymbol]] &amp; ".evtx"
)</f>
        <v/>
      </c>
      <c r="V684" s="20" t="str">
        <f>IF(
   T_Channel[[#This Row],[Check]]&lt;&gt;"OK",
   "",
   T_Channel[[#This Row],[LogFolder]] &amp; "\" &amp; T_Channel[[#This Row],[LogFile]]
)</f>
        <v/>
      </c>
      <c r="W684" s="20" t="str">
        <f>IF(
   T_Channel[[#This Row],[Safekeeping of logs]]="",
   "",
   VLOOKUP(T_Channel[[#This Row],[Safekeeping of logs]],T_List_LogMode[],2,FALSE)
)</f>
        <v/>
      </c>
      <c r="X684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685" spans="2:24" x14ac:dyDescent="0.45">
      <c r="B685" s="7"/>
      <c r="C685" s="7"/>
      <c r="D685" s="7"/>
      <c r="E685" s="7"/>
      <c r="F685" s="6"/>
      <c r="G685" s="6"/>
      <c r="H685" s="6"/>
      <c r="I685" s="6"/>
      <c r="J685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685" s="21"/>
      <c r="L685" s="7"/>
      <c r="M685" s="41"/>
      <c r="N685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685" s="26" t="str">
        <f>IF(
   T_Channel[[#This Row],[ProviderName]]="",
   "",
   COUNTIF($N$12:$N$9982,T_Channel[[#This Row],[ProviderName]])
)</f>
        <v/>
      </c>
      <c r="P685" s="26" t="str">
        <f>IF(
   T_Channel[[#This Row],[Check]]&lt;&gt;"OK",
   "",
   IF(
      T_Channel[[#This Row],[Query]]="",
      "Empty",
      "Defined"
   )
)</f>
        <v/>
      </c>
      <c r="Q685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685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685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68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685" s="20" t="str">
        <f>IF(
   T_Channel[[#This Row],[Check]]&lt;&gt;"OK",
   "",
   T_Channel[[#This Row],[ChannelSymbol]] &amp; ".evtx"
)</f>
        <v/>
      </c>
      <c r="V685" s="20" t="str">
        <f>IF(
   T_Channel[[#This Row],[Check]]&lt;&gt;"OK",
   "",
   T_Channel[[#This Row],[LogFolder]] &amp; "\" &amp; T_Channel[[#This Row],[LogFile]]
)</f>
        <v/>
      </c>
      <c r="W685" s="20" t="str">
        <f>IF(
   T_Channel[[#This Row],[Safekeeping of logs]]="",
   "",
   VLOOKUP(T_Channel[[#This Row],[Safekeeping of logs]],T_List_LogMode[],2,FALSE)
)</f>
        <v/>
      </c>
      <c r="X685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686" spans="2:24" x14ac:dyDescent="0.45">
      <c r="B686" s="7"/>
      <c r="C686" s="7"/>
      <c r="D686" s="7"/>
      <c r="E686" s="7"/>
      <c r="F686" s="6"/>
      <c r="G686" s="6"/>
      <c r="H686" s="6"/>
      <c r="I686" s="6"/>
      <c r="J686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686" s="21"/>
      <c r="L686" s="7"/>
      <c r="M686" s="41"/>
      <c r="N686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686" s="26" t="str">
        <f>IF(
   T_Channel[[#This Row],[ProviderName]]="",
   "",
   COUNTIF($N$12:$N$9982,T_Channel[[#This Row],[ProviderName]])
)</f>
        <v/>
      </c>
      <c r="P686" s="26" t="str">
        <f>IF(
   T_Channel[[#This Row],[Check]]&lt;&gt;"OK",
   "",
   IF(
      T_Channel[[#This Row],[Query]]="",
      "Empty",
      "Defined"
   )
)</f>
        <v/>
      </c>
      <c r="Q686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686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686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68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686" s="20" t="str">
        <f>IF(
   T_Channel[[#This Row],[Check]]&lt;&gt;"OK",
   "",
   T_Channel[[#This Row],[ChannelSymbol]] &amp; ".evtx"
)</f>
        <v/>
      </c>
      <c r="V686" s="20" t="str">
        <f>IF(
   T_Channel[[#This Row],[Check]]&lt;&gt;"OK",
   "",
   T_Channel[[#This Row],[LogFolder]] &amp; "\" &amp; T_Channel[[#This Row],[LogFile]]
)</f>
        <v/>
      </c>
      <c r="W686" s="20" t="str">
        <f>IF(
   T_Channel[[#This Row],[Safekeeping of logs]]="",
   "",
   VLOOKUP(T_Channel[[#This Row],[Safekeeping of logs]],T_List_LogMode[],2,FALSE)
)</f>
        <v/>
      </c>
      <c r="X686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687" spans="2:24" x14ac:dyDescent="0.45">
      <c r="B687" s="7"/>
      <c r="C687" s="7"/>
      <c r="D687" s="7"/>
      <c r="E687" s="7"/>
      <c r="F687" s="6"/>
      <c r="G687" s="6"/>
      <c r="H687" s="6"/>
      <c r="I687" s="6"/>
      <c r="J687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687" s="21"/>
      <c r="L687" s="7"/>
      <c r="M687" s="41"/>
      <c r="N687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687" s="26" t="str">
        <f>IF(
   T_Channel[[#This Row],[ProviderName]]="",
   "",
   COUNTIF($N$12:$N$9982,T_Channel[[#This Row],[ProviderName]])
)</f>
        <v/>
      </c>
      <c r="P687" s="26" t="str">
        <f>IF(
   T_Channel[[#This Row],[Check]]&lt;&gt;"OK",
   "",
   IF(
      T_Channel[[#This Row],[Query]]="",
      "Empty",
      "Defined"
   )
)</f>
        <v/>
      </c>
      <c r="Q687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687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687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68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687" s="20" t="str">
        <f>IF(
   T_Channel[[#This Row],[Check]]&lt;&gt;"OK",
   "",
   T_Channel[[#This Row],[ChannelSymbol]] &amp; ".evtx"
)</f>
        <v/>
      </c>
      <c r="V687" s="20" t="str">
        <f>IF(
   T_Channel[[#This Row],[Check]]&lt;&gt;"OK",
   "",
   T_Channel[[#This Row],[LogFolder]] &amp; "\" &amp; T_Channel[[#This Row],[LogFile]]
)</f>
        <v/>
      </c>
      <c r="W687" s="20" t="str">
        <f>IF(
   T_Channel[[#This Row],[Safekeeping of logs]]="",
   "",
   VLOOKUP(T_Channel[[#This Row],[Safekeeping of logs]],T_List_LogMode[],2,FALSE)
)</f>
        <v/>
      </c>
      <c r="X687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688" spans="2:24" x14ac:dyDescent="0.45">
      <c r="B688" s="7"/>
      <c r="C688" s="7"/>
      <c r="D688" s="7"/>
      <c r="E688" s="7"/>
      <c r="F688" s="6"/>
      <c r="G688" s="6"/>
      <c r="H688" s="6"/>
      <c r="I688" s="6"/>
      <c r="J688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688" s="21"/>
      <c r="L688" s="7"/>
      <c r="M688" s="41"/>
      <c r="N688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688" s="26" t="str">
        <f>IF(
   T_Channel[[#This Row],[ProviderName]]="",
   "",
   COUNTIF($N$12:$N$9982,T_Channel[[#This Row],[ProviderName]])
)</f>
        <v/>
      </c>
      <c r="P688" s="26" t="str">
        <f>IF(
   T_Channel[[#This Row],[Check]]&lt;&gt;"OK",
   "",
   IF(
      T_Channel[[#This Row],[Query]]="",
      "Empty",
      "Defined"
   )
)</f>
        <v/>
      </c>
      <c r="Q688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688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688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68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688" s="20" t="str">
        <f>IF(
   T_Channel[[#This Row],[Check]]&lt;&gt;"OK",
   "",
   T_Channel[[#This Row],[ChannelSymbol]] &amp; ".evtx"
)</f>
        <v/>
      </c>
      <c r="V688" s="20" t="str">
        <f>IF(
   T_Channel[[#This Row],[Check]]&lt;&gt;"OK",
   "",
   T_Channel[[#This Row],[LogFolder]] &amp; "\" &amp; T_Channel[[#This Row],[LogFile]]
)</f>
        <v/>
      </c>
      <c r="W688" s="20" t="str">
        <f>IF(
   T_Channel[[#This Row],[Safekeeping of logs]]="",
   "",
   VLOOKUP(T_Channel[[#This Row],[Safekeeping of logs]],T_List_LogMode[],2,FALSE)
)</f>
        <v/>
      </c>
      <c r="X688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689" spans="2:24" x14ac:dyDescent="0.45">
      <c r="B689" s="7"/>
      <c r="C689" s="7"/>
      <c r="D689" s="7"/>
      <c r="E689" s="7"/>
      <c r="F689" s="6"/>
      <c r="G689" s="6"/>
      <c r="H689" s="6"/>
      <c r="I689" s="6"/>
      <c r="J689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689" s="21"/>
      <c r="L689" s="7"/>
      <c r="M689" s="41"/>
      <c r="N689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689" s="26" t="str">
        <f>IF(
   T_Channel[[#This Row],[ProviderName]]="",
   "",
   COUNTIF($N$12:$N$9982,T_Channel[[#This Row],[ProviderName]])
)</f>
        <v/>
      </c>
      <c r="P689" s="26" t="str">
        <f>IF(
   T_Channel[[#This Row],[Check]]&lt;&gt;"OK",
   "",
   IF(
      T_Channel[[#This Row],[Query]]="",
      "Empty",
      "Defined"
   )
)</f>
        <v/>
      </c>
      <c r="Q689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689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689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68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689" s="20" t="str">
        <f>IF(
   T_Channel[[#This Row],[Check]]&lt;&gt;"OK",
   "",
   T_Channel[[#This Row],[ChannelSymbol]] &amp; ".evtx"
)</f>
        <v/>
      </c>
      <c r="V689" s="20" t="str">
        <f>IF(
   T_Channel[[#This Row],[Check]]&lt;&gt;"OK",
   "",
   T_Channel[[#This Row],[LogFolder]] &amp; "\" &amp; T_Channel[[#This Row],[LogFile]]
)</f>
        <v/>
      </c>
      <c r="W689" s="20" t="str">
        <f>IF(
   T_Channel[[#This Row],[Safekeeping of logs]]="",
   "",
   VLOOKUP(T_Channel[[#This Row],[Safekeeping of logs]],T_List_LogMode[],2,FALSE)
)</f>
        <v/>
      </c>
      <c r="X689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690" spans="2:24" x14ac:dyDescent="0.45">
      <c r="B690" s="7"/>
      <c r="C690" s="7"/>
      <c r="D690" s="7"/>
      <c r="E690" s="7"/>
      <c r="F690" s="6"/>
      <c r="G690" s="6"/>
      <c r="H690" s="6"/>
      <c r="I690" s="6"/>
      <c r="J690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690" s="21"/>
      <c r="L690" s="7"/>
      <c r="M690" s="41"/>
      <c r="N690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690" s="26" t="str">
        <f>IF(
   T_Channel[[#This Row],[ProviderName]]="",
   "",
   COUNTIF($N$12:$N$9982,T_Channel[[#This Row],[ProviderName]])
)</f>
        <v/>
      </c>
      <c r="P690" s="26" t="str">
        <f>IF(
   T_Channel[[#This Row],[Check]]&lt;&gt;"OK",
   "",
   IF(
      T_Channel[[#This Row],[Query]]="",
      "Empty",
      "Defined"
   )
)</f>
        <v/>
      </c>
      <c r="Q690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690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690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69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690" s="20" t="str">
        <f>IF(
   T_Channel[[#This Row],[Check]]&lt;&gt;"OK",
   "",
   T_Channel[[#This Row],[ChannelSymbol]] &amp; ".evtx"
)</f>
        <v/>
      </c>
      <c r="V690" s="20" t="str">
        <f>IF(
   T_Channel[[#This Row],[Check]]&lt;&gt;"OK",
   "",
   T_Channel[[#This Row],[LogFolder]] &amp; "\" &amp; T_Channel[[#This Row],[LogFile]]
)</f>
        <v/>
      </c>
      <c r="W690" s="20" t="str">
        <f>IF(
   T_Channel[[#This Row],[Safekeeping of logs]]="",
   "",
   VLOOKUP(T_Channel[[#This Row],[Safekeeping of logs]],T_List_LogMode[],2,FALSE)
)</f>
        <v/>
      </c>
      <c r="X690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691" spans="2:24" x14ac:dyDescent="0.45">
      <c r="B691" s="7"/>
      <c r="C691" s="7"/>
      <c r="D691" s="7"/>
      <c r="E691" s="7"/>
      <c r="F691" s="6"/>
      <c r="G691" s="6"/>
      <c r="H691" s="6"/>
      <c r="I691" s="6"/>
      <c r="J691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691" s="21"/>
      <c r="L691" s="7"/>
      <c r="M691" s="41"/>
      <c r="N691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691" s="26" t="str">
        <f>IF(
   T_Channel[[#This Row],[ProviderName]]="",
   "",
   COUNTIF($N$12:$N$9982,T_Channel[[#This Row],[ProviderName]])
)</f>
        <v/>
      </c>
      <c r="P691" s="26" t="str">
        <f>IF(
   T_Channel[[#This Row],[Check]]&lt;&gt;"OK",
   "",
   IF(
      T_Channel[[#This Row],[Query]]="",
      "Empty",
      "Defined"
   )
)</f>
        <v/>
      </c>
      <c r="Q691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691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691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69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691" s="20" t="str">
        <f>IF(
   T_Channel[[#This Row],[Check]]&lt;&gt;"OK",
   "",
   T_Channel[[#This Row],[ChannelSymbol]] &amp; ".evtx"
)</f>
        <v/>
      </c>
      <c r="V691" s="20" t="str">
        <f>IF(
   T_Channel[[#This Row],[Check]]&lt;&gt;"OK",
   "",
   T_Channel[[#This Row],[LogFolder]] &amp; "\" &amp; T_Channel[[#This Row],[LogFile]]
)</f>
        <v/>
      </c>
      <c r="W691" s="20" t="str">
        <f>IF(
   T_Channel[[#This Row],[Safekeeping of logs]]="",
   "",
   VLOOKUP(T_Channel[[#This Row],[Safekeeping of logs]],T_List_LogMode[],2,FALSE)
)</f>
        <v/>
      </c>
      <c r="X691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692" spans="2:24" x14ac:dyDescent="0.45">
      <c r="B692" s="7"/>
      <c r="C692" s="7"/>
      <c r="D692" s="7"/>
      <c r="E692" s="7"/>
      <c r="F692" s="6"/>
      <c r="G692" s="6"/>
      <c r="H692" s="6"/>
      <c r="I692" s="6"/>
      <c r="J692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692" s="21"/>
      <c r="L692" s="7"/>
      <c r="M692" s="41"/>
      <c r="N692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692" s="26" t="str">
        <f>IF(
   T_Channel[[#This Row],[ProviderName]]="",
   "",
   COUNTIF($N$12:$N$9982,T_Channel[[#This Row],[ProviderName]])
)</f>
        <v/>
      </c>
      <c r="P692" s="26" t="str">
        <f>IF(
   T_Channel[[#This Row],[Check]]&lt;&gt;"OK",
   "",
   IF(
      T_Channel[[#This Row],[Query]]="",
      "Empty",
      "Defined"
   )
)</f>
        <v/>
      </c>
      <c r="Q692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692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692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69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692" s="20" t="str">
        <f>IF(
   T_Channel[[#This Row],[Check]]&lt;&gt;"OK",
   "",
   T_Channel[[#This Row],[ChannelSymbol]] &amp; ".evtx"
)</f>
        <v/>
      </c>
      <c r="V692" s="20" t="str">
        <f>IF(
   T_Channel[[#This Row],[Check]]&lt;&gt;"OK",
   "",
   T_Channel[[#This Row],[LogFolder]] &amp; "\" &amp; T_Channel[[#This Row],[LogFile]]
)</f>
        <v/>
      </c>
      <c r="W692" s="20" t="str">
        <f>IF(
   T_Channel[[#This Row],[Safekeeping of logs]]="",
   "",
   VLOOKUP(T_Channel[[#This Row],[Safekeeping of logs]],T_List_LogMode[],2,FALSE)
)</f>
        <v/>
      </c>
      <c r="X692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693" spans="2:24" x14ac:dyDescent="0.45">
      <c r="B693" s="7"/>
      <c r="C693" s="7"/>
      <c r="D693" s="7"/>
      <c r="E693" s="7"/>
      <c r="F693" s="6"/>
      <c r="G693" s="6"/>
      <c r="H693" s="6"/>
      <c r="I693" s="6"/>
      <c r="J693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693" s="21"/>
      <c r="L693" s="7"/>
      <c r="M693" s="41"/>
      <c r="N693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693" s="26" t="str">
        <f>IF(
   T_Channel[[#This Row],[ProviderName]]="",
   "",
   COUNTIF($N$12:$N$9982,T_Channel[[#This Row],[ProviderName]])
)</f>
        <v/>
      </c>
      <c r="P693" s="26" t="str">
        <f>IF(
   T_Channel[[#This Row],[Check]]&lt;&gt;"OK",
   "",
   IF(
      T_Channel[[#This Row],[Query]]="",
      "Empty",
      "Defined"
   )
)</f>
        <v/>
      </c>
      <c r="Q693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693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693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69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693" s="20" t="str">
        <f>IF(
   T_Channel[[#This Row],[Check]]&lt;&gt;"OK",
   "",
   T_Channel[[#This Row],[ChannelSymbol]] &amp; ".evtx"
)</f>
        <v/>
      </c>
      <c r="V693" s="20" t="str">
        <f>IF(
   T_Channel[[#This Row],[Check]]&lt;&gt;"OK",
   "",
   T_Channel[[#This Row],[LogFolder]] &amp; "\" &amp; T_Channel[[#This Row],[LogFile]]
)</f>
        <v/>
      </c>
      <c r="W693" s="20" t="str">
        <f>IF(
   T_Channel[[#This Row],[Safekeeping of logs]]="",
   "",
   VLOOKUP(T_Channel[[#This Row],[Safekeeping of logs]],T_List_LogMode[],2,FALSE)
)</f>
        <v/>
      </c>
      <c r="X693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694" spans="2:24" x14ac:dyDescent="0.45">
      <c r="B694" s="7"/>
      <c r="C694" s="7"/>
      <c r="D694" s="7"/>
      <c r="E694" s="7"/>
      <c r="F694" s="6"/>
      <c r="G694" s="6"/>
      <c r="H694" s="6"/>
      <c r="I694" s="6"/>
      <c r="J694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694" s="21"/>
      <c r="L694" s="7"/>
      <c r="M694" s="41"/>
      <c r="N694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694" s="26" t="str">
        <f>IF(
   T_Channel[[#This Row],[ProviderName]]="",
   "",
   COUNTIF($N$12:$N$9982,T_Channel[[#This Row],[ProviderName]])
)</f>
        <v/>
      </c>
      <c r="P694" s="26" t="str">
        <f>IF(
   T_Channel[[#This Row],[Check]]&lt;&gt;"OK",
   "",
   IF(
      T_Channel[[#This Row],[Query]]="",
      "Empty",
      "Defined"
   )
)</f>
        <v/>
      </c>
      <c r="Q694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694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694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69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694" s="20" t="str">
        <f>IF(
   T_Channel[[#This Row],[Check]]&lt;&gt;"OK",
   "",
   T_Channel[[#This Row],[ChannelSymbol]] &amp; ".evtx"
)</f>
        <v/>
      </c>
      <c r="V694" s="20" t="str">
        <f>IF(
   T_Channel[[#This Row],[Check]]&lt;&gt;"OK",
   "",
   T_Channel[[#This Row],[LogFolder]] &amp; "\" &amp; T_Channel[[#This Row],[LogFile]]
)</f>
        <v/>
      </c>
      <c r="W694" s="20" t="str">
        <f>IF(
   T_Channel[[#This Row],[Safekeeping of logs]]="",
   "",
   VLOOKUP(T_Channel[[#This Row],[Safekeeping of logs]],T_List_LogMode[],2,FALSE)
)</f>
        <v/>
      </c>
      <c r="X694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695" spans="2:24" x14ac:dyDescent="0.45">
      <c r="B695" s="7"/>
      <c r="C695" s="7"/>
      <c r="D695" s="7"/>
      <c r="E695" s="7"/>
      <c r="F695" s="6"/>
      <c r="G695" s="6"/>
      <c r="H695" s="6"/>
      <c r="I695" s="6"/>
      <c r="J695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695" s="21"/>
      <c r="L695" s="7"/>
      <c r="M695" s="41"/>
      <c r="N695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695" s="26" t="str">
        <f>IF(
   T_Channel[[#This Row],[ProviderName]]="",
   "",
   COUNTIF($N$12:$N$9982,T_Channel[[#This Row],[ProviderName]])
)</f>
        <v/>
      </c>
      <c r="P695" s="26" t="str">
        <f>IF(
   T_Channel[[#This Row],[Check]]&lt;&gt;"OK",
   "",
   IF(
      T_Channel[[#This Row],[Query]]="",
      "Empty",
      "Defined"
   )
)</f>
        <v/>
      </c>
      <c r="Q695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695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695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69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695" s="20" t="str">
        <f>IF(
   T_Channel[[#This Row],[Check]]&lt;&gt;"OK",
   "",
   T_Channel[[#This Row],[ChannelSymbol]] &amp; ".evtx"
)</f>
        <v/>
      </c>
      <c r="V695" s="20" t="str">
        <f>IF(
   T_Channel[[#This Row],[Check]]&lt;&gt;"OK",
   "",
   T_Channel[[#This Row],[LogFolder]] &amp; "\" &amp; T_Channel[[#This Row],[LogFile]]
)</f>
        <v/>
      </c>
      <c r="W695" s="20" t="str">
        <f>IF(
   T_Channel[[#This Row],[Safekeeping of logs]]="",
   "",
   VLOOKUP(T_Channel[[#This Row],[Safekeeping of logs]],T_List_LogMode[],2,FALSE)
)</f>
        <v/>
      </c>
      <c r="X695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696" spans="2:24" x14ac:dyDescent="0.45">
      <c r="B696" s="7"/>
      <c r="C696" s="7"/>
      <c r="D696" s="7"/>
      <c r="E696" s="7"/>
      <c r="F696" s="6"/>
      <c r="G696" s="6"/>
      <c r="H696" s="6"/>
      <c r="I696" s="6"/>
      <c r="J696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696" s="21"/>
      <c r="L696" s="7"/>
      <c r="M696" s="41"/>
      <c r="N696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696" s="26" t="str">
        <f>IF(
   T_Channel[[#This Row],[ProviderName]]="",
   "",
   COUNTIF($N$12:$N$9982,T_Channel[[#This Row],[ProviderName]])
)</f>
        <v/>
      </c>
      <c r="P696" s="26" t="str">
        <f>IF(
   T_Channel[[#This Row],[Check]]&lt;&gt;"OK",
   "",
   IF(
      T_Channel[[#This Row],[Query]]="",
      "Empty",
      "Defined"
   )
)</f>
        <v/>
      </c>
      <c r="Q696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696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696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69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696" s="20" t="str">
        <f>IF(
   T_Channel[[#This Row],[Check]]&lt;&gt;"OK",
   "",
   T_Channel[[#This Row],[ChannelSymbol]] &amp; ".evtx"
)</f>
        <v/>
      </c>
      <c r="V696" s="20" t="str">
        <f>IF(
   T_Channel[[#This Row],[Check]]&lt;&gt;"OK",
   "",
   T_Channel[[#This Row],[LogFolder]] &amp; "\" &amp; T_Channel[[#This Row],[LogFile]]
)</f>
        <v/>
      </c>
      <c r="W696" s="20" t="str">
        <f>IF(
   T_Channel[[#This Row],[Safekeeping of logs]]="",
   "",
   VLOOKUP(T_Channel[[#This Row],[Safekeeping of logs]],T_List_LogMode[],2,FALSE)
)</f>
        <v/>
      </c>
      <c r="X696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697" spans="2:24" x14ac:dyDescent="0.45">
      <c r="B697" s="7"/>
      <c r="C697" s="7"/>
      <c r="D697" s="7"/>
      <c r="E697" s="7"/>
      <c r="F697" s="6"/>
      <c r="G697" s="6"/>
      <c r="H697" s="6"/>
      <c r="I697" s="6"/>
      <c r="J697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697" s="21"/>
      <c r="L697" s="7"/>
      <c r="M697" s="41"/>
      <c r="N697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697" s="26" t="str">
        <f>IF(
   T_Channel[[#This Row],[ProviderName]]="",
   "",
   COUNTIF($N$12:$N$9982,T_Channel[[#This Row],[ProviderName]])
)</f>
        <v/>
      </c>
      <c r="P697" s="26" t="str">
        <f>IF(
   T_Channel[[#This Row],[Check]]&lt;&gt;"OK",
   "",
   IF(
      T_Channel[[#This Row],[Query]]="",
      "Empty",
      "Defined"
   )
)</f>
        <v/>
      </c>
      <c r="Q697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697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697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69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697" s="20" t="str">
        <f>IF(
   T_Channel[[#This Row],[Check]]&lt;&gt;"OK",
   "",
   T_Channel[[#This Row],[ChannelSymbol]] &amp; ".evtx"
)</f>
        <v/>
      </c>
      <c r="V697" s="20" t="str">
        <f>IF(
   T_Channel[[#This Row],[Check]]&lt;&gt;"OK",
   "",
   T_Channel[[#This Row],[LogFolder]] &amp; "\" &amp; T_Channel[[#This Row],[LogFile]]
)</f>
        <v/>
      </c>
      <c r="W697" s="20" t="str">
        <f>IF(
   T_Channel[[#This Row],[Safekeeping of logs]]="",
   "",
   VLOOKUP(T_Channel[[#This Row],[Safekeeping of logs]],T_List_LogMode[],2,FALSE)
)</f>
        <v/>
      </c>
      <c r="X697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698" spans="2:24" x14ac:dyDescent="0.45">
      <c r="B698" s="7"/>
      <c r="C698" s="7"/>
      <c r="D698" s="7"/>
      <c r="E698" s="7"/>
      <c r="F698" s="6"/>
      <c r="G698" s="6"/>
      <c r="H698" s="6"/>
      <c r="I698" s="6"/>
      <c r="J698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698" s="21"/>
      <c r="L698" s="7"/>
      <c r="M698" s="41"/>
      <c r="N698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698" s="26" t="str">
        <f>IF(
   T_Channel[[#This Row],[ProviderName]]="",
   "",
   COUNTIF($N$12:$N$9982,T_Channel[[#This Row],[ProviderName]])
)</f>
        <v/>
      </c>
      <c r="P698" s="26" t="str">
        <f>IF(
   T_Channel[[#This Row],[Check]]&lt;&gt;"OK",
   "",
   IF(
      T_Channel[[#This Row],[Query]]="",
      "Empty",
      "Defined"
   )
)</f>
        <v/>
      </c>
      <c r="Q698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698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698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69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698" s="20" t="str">
        <f>IF(
   T_Channel[[#This Row],[Check]]&lt;&gt;"OK",
   "",
   T_Channel[[#This Row],[ChannelSymbol]] &amp; ".evtx"
)</f>
        <v/>
      </c>
      <c r="V698" s="20" t="str">
        <f>IF(
   T_Channel[[#This Row],[Check]]&lt;&gt;"OK",
   "",
   T_Channel[[#This Row],[LogFolder]] &amp; "\" &amp; T_Channel[[#This Row],[LogFile]]
)</f>
        <v/>
      </c>
      <c r="W698" s="20" t="str">
        <f>IF(
   T_Channel[[#This Row],[Safekeeping of logs]]="",
   "",
   VLOOKUP(T_Channel[[#This Row],[Safekeeping of logs]],T_List_LogMode[],2,FALSE)
)</f>
        <v/>
      </c>
      <c r="X698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699" spans="2:24" x14ac:dyDescent="0.45">
      <c r="B699" s="7"/>
      <c r="C699" s="7"/>
      <c r="D699" s="7"/>
      <c r="E699" s="7"/>
      <c r="F699" s="6"/>
      <c r="G699" s="6"/>
      <c r="H699" s="6"/>
      <c r="I699" s="6"/>
      <c r="J699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699" s="21"/>
      <c r="L699" s="7"/>
      <c r="M699" s="41"/>
      <c r="N699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699" s="26" t="str">
        <f>IF(
   T_Channel[[#This Row],[ProviderName]]="",
   "",
   COUNTIF($N$12:$N$9982,T_Channel[[#This Row],[ProviderName]])
)</f>
        <v/>
      </c>
      <c r="P699" s="26" t="str">
        <f>IF(
   T_Channel[[#This Row],[Check]]&lt;&gt;"OK",
   "",
   IF(
      T_Channel[[#This Row],[Query]]="",
      "Empty",
      "Defined"
   )
)</f>
        <v/>
      </c>
      <c r="Q699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699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699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69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699" s="20" t="str">
        <f>IF(
   T_Channel[[#This Row],[Check]]&lt;&gt;"OK",
   "",
   T_Channel[[#This Row],[ChannelSymbol]] &amp; ".evtx"
)</f>
        <v/>
      </c>
      <c r="V699" s="20" t="str">
        <f>IF(
   T_Channel[[#This Row],[Check]]&lt;&gt;"OK",
   "",
   T_Channel[[#This Row],[LogFolder]] &amp; "\" &amp; T_Channel[[#This Row],[LogFile]]
)</f>
        <v/>
      </c>
      <c r="W699" s="20" t="str">
        <f>IF(
   T_Channel[[#This Row],[Safekeeping of logs]]="",
   "",
   VLOOKUP(T_Channel[[#This Row],[Safekeeping of logs]],T_List_LogMode[],2,FALSE)
)</f>
        <v/>
      </c>
      <c r="X699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700" spans="2:24" x14ac:dyDescent="0.45">
      <c r="B700" s="7"/>
      <c r="C700" s="7"/>
      <c r="D700" s="7"/>
      <c r="E700" s="7"/>
      <c r="F700" s="6"/>
      <c r="G700" s="6"/>
      <c r="H700" s="6"/>
      <c r="I700" s="6"/>
      <c r="J700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700" s="21"/>
      <c r="L700" s="7"/>
      <c r="M700" s="41"/>
      <c r="N700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700" s="26" t="str">
        <f>IF(
   T_Channel[[#This Row],[ProviderName]]="",
   "",
   COUNTIF($N$12:$N$9982,T_Channel[[#This Row],[ProviderName]])
)</f>
        <v/>
      </c>
      <c r="P700" s="26" t="str">
        <f>IF(
   T_Channel[[#This Row],[Check]]&lt;&gt;"OK",
   "",
   IF(
      T_Channel[[#This Row],[Query]]="",
      "Empty",
      "Defined"
   )
)</f>
        <v/>
      </c>
      <c r="Q700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700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700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70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700" s="20" t="str">
        <f>IF(
   T_Channel[[#This Row],[Check]]&lt;&gt;"OK",
   "",
   T_Channel[[#This Row],[ChannelSymbol]] &amp; ".evtx"
)</f>
        <v/>
      </c>
      <c r="V700" s="20" t="str">
        <f>IF(
   T_Channel[[#This Row],[Check]]&lt;&gt;"OK",
   "",
   T_Channel[[#This Row],[LogFolder]] &amp; "\" &amp; T_Channel[[#This Row],[LogFile]]
)</f>
        <v/>
      </c>
      <c r="W700" s="20" t="str">
        <f>IF(
   T_Channel[[#This Row],[Safekeeping of logs]]="",
   "",
   VLOOKUP(T_Channel[[#This Row],[Safekeeping of logs]],T_List_LogMode[],2,FALSE)
)</f>
        <v/>
      </c>
      <c r="X700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701" spans="2:24" x14ac:dyDescent="0.45">
      <c r="B701" s="7"/>
      <c r="C701" s="7"/>
      <c r="D701" s="7"/>
      <c r="E701" s="7"/>
      <c r="F701" s="6"/>
      <c r="G701" s="6"/>
      <c r="H701" s="6"/>
      <c r="I701" s="6"/>
      <c r="J701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701" s="21"/>
      <c r="L701" s="7"/>
      <c r="M701" s="41"/>
      <c r="N701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701" s="26" t="str">
        <f>IF(
   T_Channel[[#This Row],[ProviderName]]="",
   "",
   COUNTIF($N$12:$N$9982,T_Channel[[#This Row],[ProviderName]])
)</f>
        <v/>
      </c>
      <c r="P701" s="26" t="str">
        <f>IF(
   T_Channel[[#This Row],[Check]]&lt;&gt;"OK",
   "",
   IF(
      T_Channel[[#This Row],[Query]]="",
      "Empty",
      "Defined"
   )
)</f>
        <v/>
      </c>
      <c r="Q701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701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701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70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701" s="20" t="str">
        <f>IF(
   T_Channel[[#This Row],[Check]]&lt;&gt;"OK",
   "",
   T_Channel[[#This Row],[ChannelSymbol]] &amp; ".evtx"
)</f>
        <v/>
      </c>
      <c r="V701" s="20" t="str">
        <f>IF(
   T_Channel[[#This Row],[Check]]&lt;&gt;"OK",
   "",
   T_Channel[[#This Row],[LogFolder]] &amp; "\" &amp; T_Channel[[#This Row],[LogFile]]
)</f>
        <v/>
      </c>
      <c r="W701" s="20" t="str">
        <f>IF(
   T_Channel[[#This Row],[Safekeeping of logs]]="",
   "",
   VLOOKUP(T_Channel[[#This Row],[Safekeeping of logs]],T_List_LogMode[],2,FALSE)
)</f>
        <v/>
      </c>
      <c r="X701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702" spans="2:24" x14ac:dyDescent="0.45">
      <c r="B702" s="7"/>
      <c r="C702" s="7"/>
      <c r="D702" s="7"/>
      <c r="E702" s="7"/>
      <c r="F702" s="6"/>
      <c r="G702" s="6"/>
      <c r="H702" s="6"/>
      <c r="I702" s="6"/>
      <c r="J702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702" s="21"/>
      <c r="L702" s="7"/>
      <c r="M702" s="41"/>
      <c r="N702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702" s="26" t="str">
        <f>IF(
   T_Channel[[#This Row],[ProviderName]]="",
   "",
   COUNTIF($N$12:$N$9982,T_Channel[[#This Row],[ProviderName]])
)</f>
        <v/>
      </c>
      <c r="P702" s="26" t="str">
        <f>IF(
   T_Channel[[#This Row],[Check]]&lt;&gt;"OK",
   "",
   IF(
      T_Channel[[#This Row],[Query]]="",
      "Empty",
      "Defined"
   )
)</f>
        <v/>
      </c>
      <c r="Q702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702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702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70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702" s="20" t="str">
        <f>IF(
   T_Channel[[#This Row],[Check]]&lt;&gt;"OK",
   "",
   T_Channel[[#This Row],[ChannelSymbol]] &amp; ".evtx"
)</f>
        <v/>
      </c>
      <c r="V702" s="20" t="str">
        <f>IF(
   T_Channel[[#This Row],[Check]]&lt;&gt;"OK",
   "",
   T_Channel[[#This Row],[LogFolder]] &amp; "\" &amp; T_Channel[[#This Row],[LogFile]]
)</f>
        <v/>
      </c>
      <c r="W702" s="20" t="str">
        <f>IF(
   T_Channel[[#This Row],[Safekeeping of logs]]="",
   "",
   VLOOKUP(T_Channel[[#This Row],[Safekeeping of logs]],T_List_LogMode[],2,FALSE)
)</f>
        <v/>
      </c>
      <c r="X702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703" spans="2:24" x14ac:dyDescent="0.45">
      <c r="B703" s="7"/>
      <c r="C703" s="7"/>
      <c r="D703" s="7"/>
      <c r="E703" s="7"/>
      <c r="F703" s="6"/>
      <c r="G703" s="6"/>
      <c r="H703" s="6"/>
      <c r="I703" s="6"/>
      <c r="J703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703" s="21"/>
      <c r="L703" s="7"/>
      <c r="M703" s="41"/>
      <c r="N703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703" s="26" t="str">
        <f>IF(
   T_Channel[[#This Row],[ProviderName]]="",
   "",
   COUNTIF($N$12:$N$9982,T_Channel[[#This Row],[ProviderName]])
)</f>
        <v/>
      </c>
      <c r="P703" s="26" t="str">
        <f>IF(
   T_Channel[[#This Row],[Check]]&lt;&gt;"OK",
   "",
   IF(
      T_Channel[[#This Row],[Query]]="",
      "Empty",
      "Defined"
   )
)</f>
        <v/>
      </c>
      <c r="Q703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703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703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70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703" s="20" t="str">
        <f>IF(
   T_Channel[[#This Row],[Check]]&lt;&gt;"OK",
   "",
   T_Channel[[#This Row],[ChannelSymbol]] &amp; ".evtx"
)</f>
        <v/>
      </c>
      <c r="V703" s="20" t="str">
        <f>IF(
   T_Channel[[#This Row],[Check]]&lt;&gt;"OK",
   "",
   T_Channel[[#This Row],[LogFolder]] &amp; "\" &amp; T_Channel[[#This Row],[LogFile]]
)</f>
        <v/>
      </c>
      <c r="W703" s="20" t="str">
        <f>IF(
   T_Channel[[#This Row],[Safekeeping of logs]]="",
   "",
   VLOOKUP(T_Channel[[#This Row],[Safekeeping of logs]],T_List_LogMode[],2,FALSE)
)</f>
        <v/>
      </c>
      <c r="X703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704" spans="2:24" x14ac:dyDescent="0.45">
      <c r="B704" s="7"/>
      <c r="C704" s="7"/>
      <c r="D704" s="7"/>
      <c r="E704" s="7"/>
      <c r="F704" s="6"/>
      <c r="G704" s="6"/>
      <c r="H704" s="6"/>
      <c r="I704" s="6"/>
      <c r="J704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704" s="21"/>
      <c r="L704" s="7"/>
      <c r="M704" s="41"/>
      <c r="N704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704" s="26" t="str">
        <f>IF(
   T_Channel[[#This Row],[ProviderName]]="",
   "",
   COUNTIF($N$12:$N$9982,T_Channel[[#This Row],[ProviderName]])
)</f>
        <v/>
      </c>
      <c r="P704" s="26" t="str">
        <f>IF(
   T_Channel[[#This Row],[Check]]&lt;&gt;"OK",
   "",
   IF(
      T_Channel[[#This Row],[Query]]="",
      "Empty",
      "Defined"
   )
)</f>
        <v/>
      </c>
      <c r="Q704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704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704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70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704" s="20" t="str">
        <f>IF(
   T_Channel[[#This Row],[Check]]&lt;&gt;"OK",
   "",
   T_Channel[[#This Row],[ChannelSymbol]] &amp; ".evtx"
)</f>
        <v/>
      </c>
      <c r="V704" s="20" t="str">
        <f>IF(
   T_Channel[[#This Row],[Check]]&lt;&gt;"OK",
   "",
   T_Channel[[#This Row],[LogFolder]] &amp; "\" &amp; T_Channel[[#This Row],[LogFile]]
)</f>
        <v/>
      </c>
      <c r="W704" s="20" t="str">
        <f>IF(
   T_Channel[[#This Row],[Safekeeping of logs]]="",
   "",
   VLOOKUP(T_Channel[[#This Row],[Safekeeping of logs]],T_List_LogMode[],2,FALSE)
)</f>
        <v/>
      </c>
      <c r="X704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705" spans="2:24" x14ac:dyDescent="0.45">
      <c r="B705" s="7"/>
      <c r="C705" s="7"/>
      <c r="D705" s="7"/>
      <c r="E705" s="7"/>
      <c r="F705" s="6"/>
      <c r="G705" s="6"/>
      <c r="H705" s="6"/>
      <c r="I705" s="6"/>
      <c r="J705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705" s="21"/>
      <c r="L705" s="7"/>
      <c r="M705" s="41"/>
      <c r="N705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705" s="26" t="str">
        <f>IF(
   T_Channel[[#This Row],[ProviderName]]="",
   "",
   COUNTIF($N$12:$N$9982,T_Channel[[#This Row],[ProviderName]])
)</f>
        <v/>
      </c>
      <c r="P705" s="26" t="str">
        <f>IF(
   T_Channel[[#This Row],[Check]]&lt;&gt;"OK",
   "",
   IF(
      T_Channel[[#This Row],[Query]]="",
      "Empty",
      "Defined"
   )
)</f>
        <v/>
      </c>
      <c r="Q705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705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705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70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705" s="20" t="str">
        <f>IF(
   T_Channel[[#This Row],[Check]]&lt;&gt;"OK",
   "",
   T_Channel[[#This Row],[ChannelSymbol]] &amp; ".evtx"
)</f>
        <v/>
      </c>
      <c r="V705" s="20" t="str">
        <f>IF(
   T_Channel[[#This Row],[Check]]&lt;&gt;"OK",
   "",
   T_Channel[[#This Row],[LogFolder]] &amp; "\" &amp; T_Channel[[#This Row],[LogFile]]
)</f>
        <v/>
      </c>
      <c r="W705" s="20" t="str">
        <f>IF(
   T_Channel[[#This Row],[Safekeeping of logs]]="",
   "",
   VLOOKUP(T_Channel[[#This Row],[Safekeeping of logs]],T_List_LogMode[],2,FALSE)
)</f>
        <v/>
      </c>
      <c r="X705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706" spans="2:24" x14ac:dyDescent="0.45">
      <c r="B706" s="7"/>
      <c r="C706" s="7"/>
      <c r="D706" s="7"/>
      <c r="E706" s="7"/>
      <c r="F706" s="6"/>
      <c r="G706" s="6"/>
      <c r="H706" s="6"/>
      <c r="I706" s="6"/>
      <c r="J706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706" s="21"/>
      <c r="L706" s="7"/>
      <c r="M706" s="41"/>
      <c r="N706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706" s="26" t="str">
        <f>IF(
   T_Channel[[#This Row],[ProviderName]]="",
   "",
   COUNTIF($N$12:$N$9982,T_Channel[[#This Row],[ProviderName]])
)</f>
        <v/>
      </c>
      <c r="P706" s="26" t="str">
        <f>IF(
   T_Channel[[#This Row],[Check]]&lt;&gt;"OK",
   "",
   IF(
      T_Channel[[#This Row],[Query]]="",
      "Empty",
      "Defined"
   )
)</f>
        <v/>
      </c>
      <c r="Q706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706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706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70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706" s="20" t="str">
        <f>IF(
   T_Channel[[#This Row],[Check]]&lt;&gt;"OK",
   "",
   T_Channel[[#This Row],[ChannelSymbol]] &amp; ".evtx"
)</f>
        <v/>
      </c>
      <c r="V706" s="20" t="str">
        <f>IF(
   T_Channel[[#This Row],[Check]]&lt;&gt;"OK",
   "",
   T_Channel[[#This Row],[LogFolder]] &amp; "\" &amp; T_Channel[[#This Row],[LogFile]]
)</f>
        <v/>
      </c>
      <c r="W706" s="20" t="str">
        <f>IF(
   T_Channel[[#This Row],[Safekeeping of logs]]="",
   "",
   VLOOKUP(T_Channel[[#This Row],[Safekeeping of logs]],T_List_LogMode[],2,FALSE)
)</f>
        <v/>
      </c>
      <c r="X706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707" spans="2:24" x14ac:dyDescent="0.45">
      <c r="B707" s="7"/>
      <c r="C707" s="7"/>
      <c r="D707" s="7"/>
      <c r="E707" s="7"/>
      <c r="F707" s="6"/>
      <c r="G707" s="6"/>
      <c r="H707" s="6"/>
      <c r="I707" s="6"/>
      <c r="J707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707" s="21"/>
      <c r="L707" s="7"/>
      <c r="M707" s="41"/>
      <c r="N707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707" s="26" t="str">
        <f>IF(
   T_Channel[[#This Row],[ProviderName]]="",
   "",
   COUNTIF($N$12:$N$9982,T_Channel[[#This Row],[ProviderName]])
)</f>
        <v/>
      </c>
      <c r="P707" s="26" t="str">
        <f>IF(
   T_Channel[[#This Row],[Check]]&lt;&gt;"OK",
   "",
   IF(
      T_Channel[[#This Row],[Query]]="",
      "Empty",
      "Defined"
   )
)</f>
        <v/>
      </c>
      <c r="Q707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707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707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70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707" s="20" t="str">
        <f>IF(
   T_Channel[[#This Row],[Check]]&lt;&gt;"OK",
   "",
   T_Channel[[#This Row],[ChannelSymbol]] &amp; ".evtx"
)</f>
        <v/>
      </c>
      <c r="V707" s="20" t="str">
        <f>IF(
   T_Channel[[#This Row],[Check]]&lt;&gt;"OK",
   "",
   T_Channel[[#This Row],[LogFolder]] &amp; "\" &amp; T_Channel[[#This Row],[LogFile]]
)</f>
        <v/>
      </c>
      <c r="W707" s="20" t="str">
        <f>IF(
   T_Channel[[#This Row],[Safekeeping of logs]]="",
   "",
   VLOOKUP(T_Channel[[#This Row],[Safekeeping of logs]],T_List_LogMode[],2,FALSE)
)</f>
        <v/>
      </c>
      <c r="X707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708" spans="2:24" x14ac:dyDescent="0.45">
      <c r="B708" s="7"/>
      <c r="C708" s="7"/>
      <c r="D708" s="7"/>
      <c r="E708" s="7"/>
      <c r="F708" s="6"/>
      <c r="G708" s="6"/>
      <c r="H708" s="6"/>
      <c r="I708" s="6"/>
      <c r="J708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708" s="21"/>
      <c r="L708" s="7"/>
      <c r="M708" s="41"/>
      <c r="N708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708" s="26" t="str">
        <f>IF(
   T_Channel[[#This Row],[ProviderName]]="",
   "",
   COUNTIF($N$12:$N$9982,T_Channel[[#This Row],[ProviderName]])
)</f>
        <v/>
      </c>
      <c r="P708" s="26" t="str">
        <f>IF(
   T_Channel[[#This Row],[Check]]&lt;&gt;"OK",
   "",
   IF(
      T_Channel[[#This Row],[Query]]="",
      "Empty",
      "Defined"
   )
)</f>
        <v/>
      </c>
      <c r="Q708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708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708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70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708" s="20" t="str">
        <f>IF(
   T_Channel[[#This Row],[Check]]&lt;&gt;"OK",
   "",
   T_Channel[[#This Row],[ChannelSymbol]] &amp; ".evtx"
)</f>
        <v/>
      </c>
      <c r="V708" s="20" t="str">
        <f>IF(
   T_Channel[[#This Row],[Check]]&lt;&gt;"OK",
   "",
   T_Channel[[#This Row],[LogFolder]] &amp; "\" &amp; T_Channel[[#This Row],[LogFile]]
)</f>
        <v/>
      </c>
      <c r="W708" s="20" t="str">
        <f>IF(
   T_Channel[[#This Row],[Safekeeping of logs]]="",
   "",
   VLOOKUP(T_Channel[[#This Row],[Safekeeping of logs]],T_List_LogMode[],2,FALSE)
)</f>
        <v/>
      </c>
      <c r="X708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709" spans="2:24" x14ac:dyDescent="0.45">
      <c r="B709" s="7"/>
      <c r="C709" s="7"/>
      <c r="D709" s="7"/>
      <c r="E709" s="7"/>
      <c r="F709" s="6"/>
      <c r="G709" s="6"/>
      <c r="H709" s="6"/>
      <c r="I709" s="6"/>
      <c r="J709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709" s="21"/>
      <c r="L709" s="7"/>
      <c r="M709" s="41"/>
      <c r="N709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709" s="26" t="str">
        <f>IF(
   T_Channel[[#This Row],[ProviderName]]="",
   "",
   COUNTIF($N$12:$N$9982,T_Channel[[#This Row],[ProviderName]])
)</f>
        <v/>
      </c>
      <c r="P709" s="26" t="str">
        <f>IF(
   T_Channel[[#This Row],[Check]]&lt;&gt;"OK",
   "",
   IF(
      T_Channel[[#This Row],[Query]]="",
      "Empty",
      "Defined"
   )
)</f>
        <v/>
      </c>
      <c r="Q709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709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709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70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709" s="20" t="str">
        <f>IF(
   T_Channel[[#This Row],[Check]]&lt;&gt;"OK",
   "",
   T_Channel[[#This Row],[ChannelSymbol]] &amp; ".evtx"
)</f>
        <v/>
      </c>
      <c r="V709" s="20" t="str">
        <f>IF(
   T_Channel[[#This Row],[Check]]&lt;&gt;"OK",
   "",
   T_Channel[[#This Row],[LogFolder]] &amp; "\" &amp; T_Channel[[#This Row],[LogFile]]
)</f>
        <v/>
      </c>
      <c r="W709" s="20" t="str">
        <f>IF(
   T_Channel[[#This Row],[Safekeeping of logs]]="",
   "",
   VLOOKUP(T_Channel[[#This Row],[Safekeeping of logs]],T_List_LogMode[],2,FALSE)
)</f>
        <v/>
      </c>
      <c r="X709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710" spans="2:24" x14ac:dyDescent="0.45">
      <c r="B710" s="7"/>
      <c r="C710" s="7"/>
      <c r="D710" s="7"/>
      <c r="E710" s="7"/>
      <c r="F710" s="6"/>
      <c r="G710" s="6"/>
      <c r="H710" s="6"/>
      <c r="I710" s="6"/>
      <c r="J710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710" s="21"/>
      <c r="L710" s="7"/>
      <c r="M710" s="41"/>
      <c r="N710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710" s="26" t="str">
        <f>IF(
   T_Channel[[#This Row],[ProviderName]]="",
   "",
   COUNTIF($N$12:$N$9982,T_Channel[[#This Row],[ProviderName]])
)</f>
        <v/>
      </c>
      <c r="P710" s="26" t="str">
        <f>IF(
   T_Channel[[#This Row],[Check]]&lt;&gt;"OK",
   "",
   IF(
      T_Channel[[#This Row],[Query]]="",
      "Empty",
      "Defined"
   )
)</f>
        <v/>
      </c>
      <c r="Q710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710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710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71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710" s="20" t="str">
        <f>IF(
   T_Channel[[#This Row],[Check]]&lt;&gt;"OK",
   "",
   T_Channel[[#This Row],[ChannelSymbol]] &amp; ".evtx"
)</f>
        <v/>
      </c>
      <c r="V710" s="20" t="str">
        <f>IF(
   T_Channel[[#This Row],[Check]]&lt;&gt;"OK",
   "",
   T_Channel[[#This Row],[LogFolder]] &amp; "\" &amp; T_Channel[[#This Row],[LogFile]]
)</f>
        <v/>
      </c>
      <c r="W710" s="20" t="str">
        <f>IF(
   T_Channel[[#This Row],[Safekeeping of logs]]="",
   "",
   VLOOKUP(T_Channel[[#This Row],[Safekeeping of logs]],T_List_LogMode[],2,FALSE)
)</f>
        <v/>
      </c>
      <c r="X710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711" spans="2:24" x14ac:dyDescent="0.45">
      <c r="B711" s="7"/>
      <c r="C711" s="7"/>
      <c r="D711" s="7"/>
      <c r="E711" s="7"/>
      <c r="F711" s="6"/>
      <c r="G711" s="6"/>
      <c r="H711" s="6"/>
      <c r="I711" s="6"/>
      <c r="J711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711" s="21"/>
      <c r="L711" s="7"/>
      <c r="M711" s="41"/>
      <c r="N711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711" s="26" t="str">
        <f>IF(
   T_Channel[[#This Row],[ProviderName]]="",
   "",
   COUNTIF($N$12:$N$9982,T_Channel[[#This Row],[ProviderName]])
)</f>
        <v/>
      </c>
      <c r="P711" s="26" t="str">
        <f>IF(
   T_Channel[[#This Row],[Check]]&lt;&gt;"OK",
   "",
   IF(
      T_Channel[[#This Row],[Query]]="",
      "Empty",
      "Defined"
   )
)</f>
        <v/>
      </c>
      <c r="Q711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711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711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71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711" s="20" t="str">
        <f>IF(
   T_Channel[[#This Row],[Check]]&lt;&gt;"OK",
   "",
   T_Channel[[#This Row],[ChannelSymbol]] &amp; ".evtx"
)</f>
        <v/>
      </c>
      <c r="V711" s="20" t="str">
        <f>IF(
   T_Channel[[#This Row],[Check]]&lt;&gt;"OK",
   "",
   T_Channel[[#This Row],[LogFolder]] &amp; "\" &amp; T_Channel[[#This Row],[LogFile]]
)</f>
        <v/>
      </c>
      <c r="W711" s="20" t="str">
        <f>IF(
   T_Channel[[#This Row],[Safekeeping of logs]]="",
   "",
   VLOOKUP(T_Channel[[#This Row],[Safekeeping of logs]],T_List_LogMode[],2,FALSE)
)</f>
        <v/>
      </c>
      <c r="X711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712" spans="2:24" x14ac:dyDescent="0.45">
      <c r="B712" s="7"/>
      <c r="C712" s="7"/>
      <c r="D712" s="7"/>
      <c r="E712" s="7"/>
      <c r="F712" s="6"/>
      <c r="G712" s="6"/>
      <c r="H712" s="6"/>
      <c r="I712" s="6"/>
      <c r="J712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712" s="21"/>
      <c r="L712" s="7"/>
      <c r="M712" s="41"/>
      <c r="N712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712" s="26" t="str">
        <f>IF(
   T_Channel[[#This Row],[ProviderName]]="",
   "",
   COUNTIF($N$12:$N$9982,T_Channel[[#This Row],[ProviderName]])
)</f>
        <v/>
      </c>
      <c r="P712" s="26" t="str">
        <f>IF(
   T_Channel[[#This Row],[Check]]&lt;&gt;"OK",
   "",
   IF(
      T_Channel[[#This Row],[Query]]="",
      "Empty",
      "Defined"
   )
)</f>
        <v/>
      </c>
      <c r="Q712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712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712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71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712" s="20" t="str">
        <f>IF(
   T_Channel[[#This Row],[Check]]&lt;&gt;"OK",
   "",
   T_Channel[[#This Row],[ChannelSymbol]] &amp; ".evtx"
)</f>
        <v/>
      </c>
      <c r="V712" s="20" t="str">
        <f>IF(
   T_Channel[[#This Row],[Check]]&lt;&gt;"OK",
   "",
   T_Channel[[#This Row],[LogFolder]] &amp; "\" &amp; T_Channel[[#This Row],[LogFile]]
)</f>
        <v/>
      </c>
      <c r="W712" s="20" t="str">
        <f>IF(
   T_Channel[[#This Row],[Safekeeping of logs]]="",
   "",
   VLOOKUP(T_Channel[[#This Row],[Safekeeping of logs]],T_List_LogMode[],2,FALSE)
)</f>
        <v/>
      </c>
      <c r="X712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713" spans="2:24" x14ac:dyDescent="0.45">
      <c r="B713" s="7"/>
      <c r="C713" s="7"/>
      <c r="D713" s="7"/>
      <c r="E713" s="7"/>
      <c r="F713" s="6"/>
      <c r="G713" s="6"/>
      <c r="H713" s="6"/>
      <c r="I713" s="6"/>
      <c r="J713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713" s="21"/>
      <c r="L713" s="7"/>
      <c r="M713" s="41"/>
      <c r="N713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713" s="26" t="str">
        <f>IF(
   T_Channel[[#This Row],[ProviderName]]="",
   "",
   COUNTIF($N$12:$N$9982,T_Channel[[#This Row],[ProviderName]])
)</f>
        <v/>
      </c>
      <c r="P713" s="26" t="str">
        <f>IF(
   T_Channel[[#This Row],[Check]]&lt;&gt;"OK",
   "",
   IF(
      T_Channel[[#This Row],[Query]]="",
      "Empty",
      "Defined"
   )
)</f>
        <v/>
      </c>
      <c r="Q713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713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713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71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713" s="20" t="str">
        <f>IF(
   T_Channel[[#This Row],[Check]]&lt;&gt;"OK",
   "",
   T_Channel[[#This Row],[ChannelSymbol]] &amp; ".evtx"
)</f>
        <v/>
      </c>
      <c r="V713" s="20" t="str">
        <f>IF(
   T_Channel[[#This Row],[Check]]&lt;&gt;"OK",
   "",
   T_Channel[[#This Row],[LogFolder]] &amp; "\" &amp; T_Channel[[#This Row],[LogFile]]
)</f>
        <v/>
      </c>
      <c r="W713" s="20" t="str">
        <f>IF(
   T_Channel[[#This Row],[Safekeeping of logs]]="",
   "",
   VLOOKUP(T_Channel[[#This Row],[Safekeeping of logs]],T_List_LogMode[],2,FALSE)
)</f>
        <v/>
      </c>
      <c r="X713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714" spans="2:24" x14ac:dyDescent="0.45">
      <c r="B714" s="7"/>
      <c r="C714" s="7"/>
      <c r="D714" s="7"/>
      <c r="E714" s="7"/>
      <c r="F714" s="6"/>
      <c r="G714" s="6"/>
      <c r="H714" s="6"/>
      <c r="I714" s="6"/>
      <c r="J714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714" s="21"/>
      <c r="L714" s="7"/>
      <c r="M714" s="41"/>
      <c r="N714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714" s="26" t="str">
        <f>IF(
   T_Channel[[#This Row],[ProviderName]]="",
   "",
   COUNTIF($N$12:$N$9982,T_Channel[[#This Row],[ProviderName]])
)</f>
        <v/>
      </c>
      <c r="P714" s="26" t="str">
        <f>IF(
   T_Channel[[#This Row],[Check]]&lt;&gt;"OK",
   "",
   IF(
      T_Channel[[#This Row],[Query]]="",
      "Empty",
      "Defined"
   )
)</f>
        <v/>
      </c>
      <c r="Q714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714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714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71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714" s="20" t="str">
        <f>IF(
   T_Channel[[#This Row],[Check]]&lt;&gt;"OK",
   "",
   T_Channel[[#This Row],[ChannelSymbol]] &amp; ".evtx"
)</f>
        <v/>
      </c>
      <c r="V714" s="20" t="str">
        <f>IF(
   T_Channel[[#This Row],[Check]]&lt;&gt;"OK",
   "",
   T_Channel[[#This Row],[LogFolder]] &amp; "\" &amp; T_Channel[[#This Row],[LogFile]]
)</f>
        <v/>
      </c>
      <c r="W714" s="20" t="str">
        <f>IF(
   T_Channel[[#This Row],[Safekeeping of logs]]="",
   "",
   VLOOKUP(T_Channel[[#This Row],[Safekeeping of logs]],T_List_LogMode[],2,FALSE)
)</f>
        <v/>
      </c>
      <c r="X714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715" spans="2:24" x14ac:dyDescent="0.45">
      <c r="B715" s="7"/>
      <c r="C715" s="7"/>
      <c r="D715" s="7"/>
      <c r="E715" s="7"/>
      <c r="F715" s="6"/>
      <c r="G715" s="6"/>
      <c r="H715" s="6"/>
      <c r="I715" s="6"/>
      <c r="J715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715" s="21"/>
      <c r="L715" s="7"/>
      <c r="M715" s="41"/>
      <c r="N715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715" s="26" t="str">
        <f>IF(
   T_Channel[[#This Row],[ProviderName]]="",
   "",
   COUNTIF($N$12:$N$9982,T_Channel[[#This Row],[ProviderName]])
)</f>
        <v/>
      </c>
      <c r="P715" s="26" t="str">
        <f>IF(
   T_Channel[[#This Row],[Check]]&lt;&gt;"OK",
   "",
   IF(
      T_Channel[[#This Row],[Query]]="",
      "Empty",
      "Defined"
   )
)</f>
        <v/>
      </c>
      <c r="Q715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715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715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71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715" s="20" t="str">
        <f>IF(
   T_Channel[[#This Row],[Check]]&lt;&gt;"OK",
   "",
   T_Channel[[#This Row],[ChannelSymbol]] &amp; ".evtx"
)</f>
        <v/>
      </c>
      <c r="V715" s="20" t="str">
        <f>IF(
   T_Channel[[#This Row],[Check]]&lt;&gt;"OK",
   "",
   T_Channel[[#This Row],[LogFolder]] &amp; "\" &amp; T_Channel[[#This Row],[LogFile]]
)</f>
        <v/>
      </c>
      <c r="W715" s="20" t="str">
        <f>IF(
   T_Channel[[#This Row],[Safekeeping of logs]]="",
   "",
   VLOOKUP(T_Channel[[#This Row],[Safekeeping of logs]],T_List_LogMode[],2,FALSE)
)</f>
        <v/>
      </c>
      <c r="X715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716" spans="2:24" x14ac:dyDescent="0.45">
      <c r="B716" s="7"/>
      <c r="C716" s="7"/>
      <c r="D716" s="7"/>
      <c r="E716" s="7"/>
      <c r="F716" s="6"/>
      <c r="G716" s="6"/>
      <c r="H716" s="6"/>
      <c r="I716" s="6"/>
      <c r="J716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716" s="21"/>
      <c r="L716" s="7"/>
      <c r="M716" s="41"/>
      <c r="N716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716" s="26" t="str">
        <f>IF(
   T_Channel[[#This Row],[ProviderName]]="",
   "",
   COUNTIF($N$12:$N$9982,T_Channel[[#This Row],[ProviderName]])
)</f>
        <v/>
      </c>
      <c r="P716" s="26" t="str">
        <f>IF(
   T_Channel[[#This Row],[Check]]&lt;&gt;"OK",
   "",
   IF(
      T_Channel[[#This Row],[Query]]="",
      "Empty",
      "Defined"
   )
)</f>
        <v/>
      </c>
      <c r="Q716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716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716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71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716" s="20" t="str">
        <f>IF(
   T_Channel[[#This Row],[Check]]&lt;&gt;"OK",
   "",
   T_Channel[[#This Row],[ChannelSymbol]] &amp; ".evtx"
)</f>
        <v/>
      </c>
      <c r="V716" s="20" t="str">
        <f>IF(
   T_Channel[[#This Row],[Check]]&lt;&gt;"OK",
   "",
   T_Channel[[#This Row],[LogFolder]] &amp; "\" &amp; T_Channel[[#This Row],[LogFile]]
)</f>
        <v/>
      </c>
      <c r="W716" s="20" t="str">
        <f>IF(
   T_Channel[[#This Row],[Safekeeping of logs]]="",
   "",
   VLOOKUP(T_Channel[[#This Row],[Safekeeping of logs]],T_List_LogMode[],2,FALSE)
)</f>
        <v/>
      </c>
      <c r="X716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717" spans="2:24" x14ac:dyDescent="0.45">
      <c r="B717" s="7"/>
      <c r="C717" s="7"/>
      <c r="D717" s="7"/>
      <c r="E717" s="7"/>
      <c r="F717" s="6"/>
      <c r="G717" s="6"/>
      <c r="H717" s="6"/>
      <c r="I717" s="6"/>
      <c r="J717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717" s="21"/>
      <c r="L717" s="7"/>
      <c r="M717" s="41"/>
      <c r="N717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717" s="26" t="str">
        <f>IF(
   T_Channel[[#This Row],[ProviderName]]="",
   "",
   COUNTIF($N$12:$N$9982,T_Channel[[#This Row],[ProviderName]])
)</f>
        <v/>
      </c>
      <c r="P717" s="26" t="str">
        <f>IF(
   T_Channel[[#This Row],[Check]]&lt;&gt;"OK",
   "",
   IF(
      T_Channel[[#This Row],[Query]]="",
      "Empty",
      "Defined"
   )
)</f>
        <v/>
      </c>
      <c r="Q717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717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717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71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717" s="20" t="str">
        <f>IF(
   T_Channel[[#This Row],[Check]]&lt;&gt;"OK",
   "",
   T_Channel[[#This Row],[ChannelSymbol]] &amp; ".evtx"
)</f>
        <v/>
      </c>
      <c r="V717" s="20" t="str">
        <f>IF(
   T_Channel[[#This Row],[Check]]&lt;&gt;"OK",
   "",
   T_Channel[[#This Row],[LogFolder]] &amp; "\" &amp; T_Channel[[#This Row],[LogFile]]
)</f>
        <v/>
      </c>
      <c r="W717" s="20" t="str">
        <f>IF(
   T_Channel[[#This Row],[Safekeeping of logs]]="",
   "",
   VLOOKUP(T_Channel[[#This Row],[Safekeeping of logs]],T_List_LogMode[],2,FALSE)
)</f>
        <v/>
      </c>
      <c r="X717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718" spans="2:24" x14ac:dyDescent="0.45">
      <c r="B718" s="7"/>
      <c r="C718" s="7"/>
      <c r="D718" s="7"/>
      <c r="E718" s="7"/>
      <c r="F718" s="6"/>
      <c r="G718" s="6"/>
      <c r="H718" s="6"/>
      <c r="I718" s="6"/>
      <c r="J718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718" s="21"/>
      <c r="L718" s="7"/>
      <c r="M718" s="41"/>
      <c r="N718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718" s="26" t="str">
        <f>IF(
   T_Channel[[#This Row],[ProviderName]]="",
   "",
   COUNTIF($N$12:$N$9982,T_Channel[[#This Row],[ProviderName]])
)</f>
        <v/>
      </c>
      <c r="P718" s="26" t="str">
        <f>IF(
   T_Channel[[#This Row],[Check]]&lt;&gt;"OK",
   "",
   IF(
      T_Channel[[#This Row],[Query]]="",
      "Empty",
      "Defined"
   )
)</f>
        <v/>
      </c>
      <c r="Q718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718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718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71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718" s="20" t="str">
        <f>IF(
   T_Channel[[#This Row],[Check]]&lt;&gt;"OK",
   "",
   T_Channel[[#This Row],[ChannelSymbol]] &amp; ".evtx"
)</f>
        <v/>
      </c>
      <c r="V718" s="20" t="str">
        <f>IF(
   T_Channel[[#This Row],[Check]]&lt;&gt;"OK",
   "",
   T_Channel[[#This Row],[LogFolder]] &amp; "\" &amp; T_Channel[[#This Row],[LogFile]]
)</f>
        <v/>
      </c>
      <c r="W718" s="20" t="str">
        <f>IF(
   T_Channel[[#This Row],[Safekeeping of logs]]="",
   "",
   VLOOKUP(T_Channel[[#This Row],[Safekeeping of logs]],T_List_LogMode[],2,FALSE)
)</f>
        <v/>
      </c>
      <c r="X718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719" spans="2:24" x14ac:dyDescent="0.45">
      <c r="B719" s="7"/>
      <c r="C719" s="7"/>
      <c r="D719" s="7"/>
      <c r="E719" s="7"/>
      <c r="F719" s="6"/>
      <c r="G719" s="6"/>
      <c r="H719" s="6"/>
      <c r="I719" s="6"/>
      <c r="J719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719" s="21"/>
      <c r="L719" s="7"/>
      <c r="M719" s="41"/>
      <c r="N719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719" s="26" t="str">
        <f>IF(
   T_Channel[[#This Row],[ProviderName]]="",
   "",
   COUNTIF($N$12:$N$9982,T_Channel[[#This Row],[ProviderName]])
)</f>
        <v/>
      </c>
      <c r="P719" s="26" t="str">
        <f>IF(
   T_Channel[[#This Row],[Check]]&lt;&gt;"OK",
   "",
   IF(
      T_Channel[[#This Row],[Query]]="",
      "Empty",
      "Defined"
   )
)</f>
        <v/>
      </c>
      <c r="Q719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719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719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71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719" s="20" t="str">
        <f>IF(
   T_Channel[[#This Row],[Check]]&lt;&gt;"OK",
   "",
   T_Channel[[#This Row],[ChannelSymbol]] &amp; ".evtx"
)</f>
        <v/>
      </c>
      <c r="V719" s="20" t="str">
        <f>IF(
   T_Channel[[#This Row],[Check]]&lt;&gt;"OK",
   "",
   T_Channel[[#This Row],[LogFolder]] &amp; "\" &amp; T_Channel[[#This Row],[LogFile]]
)</f>
        <v/>
      </c>
      <c r="W719" s="20" t="str">
        <f>IF(
   T_Channel[[#This Row],[Safekeeping of logs]]="",
   "",
   VLOOKUP(T_Channel[[#This Row],[Safekeeping of logs]],T_List_LogMode[],2,FALSE)
)</f>
        <v/>
      </c>
      <c r="X719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720" spans="2:24" x14ac:dyDescent="0.45">
      <c r="B720" s="7"/>
      <c r="C720" s="7"/>
      <c r="D720" s="7"/>
      <c r="E720" s="7"/>
      <c r="F720" s="6"/>
      <c r="G720" s="6"/>
      <c r="H720" s="6"/>
      <c r="I720" s="6"/>
      <c r="J720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720" s="21"/>
      <c r="L720" s="7"/>
      <c r="M720" s="41"/>
      <c r="N720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720" s="26" t="str">
        <f>IF(
   T_Channel[[#This Row],[ProviderName]]="",
   "",
   COUNTIF($N$12:$N$9982,T_Channel[[#This Row],[ProviderName]])
)</f>
        <v/>
      </c>
      <c r="P720" s="26" t="str">
        <f>IF(
   T_Channel[[#This Row],[Check]]&lt;&gt;"OK",
   "",
   IF(
      T_Channel[[#This Row],[Query]]="",
      "Empty",
      "Defined"
   )
)</f>
        <v/>
      </c>
      <c r="Q720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720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720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72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720" s="20" t="str">
        <f>IF(
   T_Channel[[#This Row],[Check]]&lt;&gt;"OK",
   "",
   T_Channel[[#This Row],[ChannelSymbol]] &amp; ".evtx"
)</f>
        <v/>
      </c>
      <c r="V720" s="20" t="str">
        <f>IF(
   T_Channel[[#This Row],[Check]]&lt;&gt;"OK",
   "",
   T_Channel[[#This Row],[LogFolder]] &amp; "\" &amp; T_Channel[[#This Row],[LogFile]]
)</f>
        <v/>
      </c>
      <c r="W720" s="20" t="str">
        <f>IF(
   T_Channel[[#This Row],[Safekeeping of logs]]="",
   "",
   VLOOKUP(T_Channel[[#This Row],[Safekeeping of logs]],T_List_LogMode[],2,FALSE)
)</f>
        <v/>
      </c>
      <c r="X720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721" spans="2:24" x14ac:dyDescent="0.45">
      <c r="B721" s="7"/>
      <c r="C721" s="7"/>
      <c r="D721" s="7"/>
      <c r="E721" s="7"/>
      <c r="F721" s="6"/>
      <c r="G721" s="6"/>
      <c r="H721" s="6"/>
      <c r="I721" s="6"/>
      <c r="J721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721" s="21"/>
      <c r="L721" s="7"/>
      <c r="M721" s="41"/>
      <c r="N721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721" s="26" t="str">
        <f>IF(
   T_Channel[[#This Row],[ProviderName]]="",
   "",
   COUNTIF($N$12:$N$9982,T_Channel[[#This Row],[ProviderName]])
)</f>
        <v/>
      </c>
      <c r="P721" s="26" t="str">
        <f>IF(
   T_Channel[[#This Row],[Check]]&lt;&gt;"OK",
   "",
   IF(
      T_Channel[[#This Row],[Query]]="",
      "Empty",
      "Defined"
   )
)</f>
        <v/>
      </c>
      <c r="Q721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721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721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72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721" s="20" t="str">
        <f>IF(
   T_Channel[[#This Row],[Check]]&lt;&gt;"OK",
   "",
   T_Channel[[#This Row],[ChannelSymbol]] &amp; ".evtx"
)</f>
        <v/>
      </c>
      <c r="V721" s="20" t="str">
        <f>IF(
   T_Channel[[#This Row],[Check]]&lt;&gt;"OK",
   "",
   T_Channel[[#This Row],[LogFolder]] &amp; "\" &amp; T_Channel[[#This Row],[LogFile]]
)</f>
        <v/>
      </c>
      <c r="W721" s="20" t="str">
        <f>IF(
   T_Channel[[#This Row],[Safekeeping of logs]]="",
   "",
   VLOOKUP(T_Channel[[#This Row],[Safekeeping of logs]],T_List_LogMode[],2,FALSE)
)</f>
        <v/>
      </c>
      <c r="X721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722" spans="2:24" x14ac:dyDescent="0.45">
      <c r="B722" s="7"/>
      <c r="C722" s="7"/>
      <c r="D722" s="7"/>
      <c r="E722" s="7"/>
      <c r="F722" s="6"/>
      <c r="G722" s="6"/>
      <c r="H722" s="6"/>
      <c r="I722" s="6"/>
      <c r="J722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722" s="21"/>
      <c r="L722" s="7"/>
      <c r="M722" s="41"/>
      <c r="N722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722" s="26" t="str">
        <f>IF(
   T_Channel[[#This Row],[ProviderName]]="",
   "",
   COUNTIF($N$12:$N$9982,T_Channel[[#This Row],[ProviderName]])
)</f>
        <v/>
      </c>
      <c r="P722" s="26" t="str">
        <f>IF(
   T_Channel[[#This Row],[Check]]&lt;&gt;"OK",
   "",
   IF(
      T_Channel[[#This Row],[Query]]="",
      "Empty",
      "Defined"
   )
)</f>
        <v/>
      </c>
      <c r="Q722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722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722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72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722" s="20" t="str">
        <f>IF(
   T_Channel[[#This Row],[Check]]&lt;&gt;"OK",
   "",
   T_Channel[[#This Row],[ChannelSymbol]] &amp; ".evtx"
)</f>
        <v/>
      </c>
      <c r="V722" s="20" t="str">
        <f>IF(
   T_Channel[[#This Row],[Check]]&lt;&gt;"OK",
   "",
   T_Channel[[#This Row],[LogFolder]] &amp; "\" &amp; T_Channel[[#This Row],[LogFile]]
)</f>
        <v/>
      </c>
      <c r="W722" s="20" t="str">
        <f>IF(
   T_Channel[[#This Row],[Safekeeping of logs]]="",
   "",
   VLOOKUP(T_Channel[[#This Row],[Safekeeping of logs]],T_List_LogMode[],2,FALSE)
)</f>
        <v/>
      </c>
      <c r="X722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723" spans="2:24" x14ac:dyDescent="0.45">
      <c r="B723" s="7"/>
      <c r="C723" s="7"/>
      <c r="D723" s="7"/>
      <c r="E723" s="7"/>
      <c r="F723" s="6"/>
      <c r="G723" s="6"/>
      <c r="H723" s="6"/>
      <c r="I723" s="6"/>
      <c r="J723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723" s="21"/>
      <c r="L723" s="7"/>
      <c r="M723" s="41"/>
      <c r="N723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723" s="26" t="str">
        <f>IF(
   T_Channel[[#This Row],[ProviderName]]="",
   "",
   COUNTIF($N$12:$N$9982,T_Channel[[#This Row],[ProviderName]])
)</f>
        <v/>
      </c>
      <c r="P723" s="26" t="str">
        <f>IF(
   T_Channel[[#This Row],[Check]]&lt;&gt;"OK",
   "",
   IF(
      T_Channel[[#This Row],[Query]]="",
      "Empty",
      "Defined"
   )
)</f>
        <v/>
      </c>
      <c r="Q723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723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723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72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723" s="20" t="str">
        <f>IF(
   T_Channel[[#This Row],[Check]]&lt;&gt;"OK",
   "",
   T_Channel[[#This Row],[ChannelSymbol]] &amp; ".evtx"
)</f>
        <v/>
      </c>
      <c r="V723" s="20" t="str">
        <f>IF(
   T_Channel[[#This Row],[Check]]&lt;&gt;"OK",
   "",
   T_Channel[[#This Row],[LogFolder]] &amp; "\" &amp; T_Channel[[#This Row],[LogFile]]
)</f>
        <v/>
      </c>
      <c r="W723" s="20" t="str">
        <f>IF(
   T_Channel[[#This Row],[Safekeeping of logs]]="",
   "",
   VLOOKUP(T_Channel[[#This Row],[Safekeeping of logs]],T_List_LogMode[],2,FALSE)
)</f>
        <v/>
      </c>
      <c r="X723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724" spans="2:24" x14ac:dyDescent="0.45">
      <c r="B724" s="7"/>
      <c r="C724" s="7"/>
      <c r="D724" s="7"/>
      <c r="E724" s="7"/>
      <c r="F724" s="6"/>
      <c r="G724" s="6"/>
      <c r="H724" s="6"/>
      <c r="I724" s="6"/>
      <c r="J724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724" s="21"/>
      <c r="L724" s="7"/>
      <c r="M724" s="41"/>
      <c r="N724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724" s="26" t="str">
        <f>IF(
   T_Channel[[#This Row],[ProviderName]]="",
   "",
   COUNTIF($N$12:$N$9982,T_Channel[[#This Row],[ProviderName]])
)</f>
        <v/>
      </c>
      <c r="P724" s="26" t="str">
        <f>IF(
   T_Channel[[#This Row],[Check]]&lt;&gt;"OK",
   "",
   IF(
      T_Channel[[#This Row],[Query]]="",
      "Empty",
      "Defined"
   )
)</f>
        <v/>
      </c>
      <c r="Q724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724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724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72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724" s="20" t="str">
        <f>IF(
   T_Channel[[#This Row],[Check]]&lt;&gt;"OK",
   "",
   T_Channel[[#This Row],[ChannelSymbol]] &amp; ".evtx"
)</f>
        <v/>
      </c>
      <c r="V724" s="20" t="str">
        <f>IF(
   T_Channel[[#This Row],[Check]]&lt;&gt;"OK",
   "",
   T_Channel[[#This Row],[LogFolder]] &amp; "\" &amp; T_Channel[[#This Row],[LogFile]]
)</f>
        <v/>
      </c>
      <c r="W724" s="20" t="str">
        <f>IF(
   T_Channel[[#This Row],[Safekeeping of logs]]="",
   "",
   VLOOKUP(T_Channel[[#This Row],[Safekeeping of logs]],T_List_LogMode[],2,FALSE)
)</f>
        <v/>
      </c>
      <c r="X724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725" spans="2:24" x14ac:dyDescent="0.45">
      <c r="B725" s="7"/>
      <c r="C725" s="7"/>
      <c r="D725" s="7"/>
      <c r="E725" s="7"/>
      <c r="F725" s="6"/>
      <c r="G725" s="6"/>
      <c r="H725" s="6"/>
      <c r="I725" s="6"/>
      <c r="J725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725" s="21"/>
      <c r="L725" s="7"/>
      <c r="M725" s="41"/>
      <c r="N725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725" s="26" t="str">
        <f>IF(
   T_Channel[[#This Row],[ProviderName]]="",
   "",
   COUNTIF($N$12:$N$9982,T_Channel[[#This Row],[ProviderName]])
)</f>
        <v/>
      </c>
      <c r="P725" s="26" t="str">
        <f>IF(
   T_Channel[[#This Row],[Check]]&lt;&gt;"OK",
   "",
   IF(
      T_Channel[[#This Row],[Query]]="",
      "Empty",
      "Defined"
   )
)</f>
        <v/>
      </c>
      <c r="Q725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725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725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72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725" s="20" t="str">
        <f>IF(
   T_Channel[[#This Row],[Check]]&lt;&gt;"OK",
   "",
   T_Channel[[#This Row],[ChannelSymbol]] &amp; ".evtx"
)</f>
        <v/>
      </c>
      <c r="V725" s="20" t="str">
        <f>IF(
   T_Channel[[#This Row],[Check]]&lt;&gt;"OK",
   "",
   T_Channel[[#This Row],[LogFolder]] &amp; "\" &amp; T_Channel[[#This Row],[LogFile]]
)</f>
        <v/>
      </c>
      <c r="W725" s="20" t="str">
        <f>IF(
   T_Channel[[#This Row],[Safekeeping of logs]]="",
   "",
   VLOOKUP(T_Channel[[#This Row],[Safekeeping of logs]],T_List_LogMode[],2,FALSE)
)</f>
        <v/>
      </c>
      <c r="X725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726" spans="2:24" x14ac:dyDescent="0.45">
      <c r="B726" s="7"/>
      <c r="C726" s="7"/>
      <c r="D726" s="7"/>
      <c r="E726" s="7"/>
      <c r="F726" s="6"/>
      <c r="G726" s="6"/>
      <c r="H726" s="6"/>
      <c r="I726" s="6"/>
      <c r="J726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726" s="21"/>
      <c r="L726" s="7"/>
      <c r="M726" s="41"/>
      <c r="N726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726" s="26" t="str">
        <f>IF(
   T_Channel[[#This Row],[ProviderName]]="",
   "",
   COUNTIF($N$12:$N$9982,T_Channel[[#This Row],[ProviderName]])
)</f>
        <v/>
      </c>
      <c r="P726" s="26" t="str">
        <f>IF(
   T_Channel[[#This Row],[Check]]&lt;&gt;"OK",
   "",
   IF(
      T_Channel[[#This Row],[Query]]="",
      "Empty",
      "Defined"
   )
)</f>
        <v/>
      </c>
      <c r="Q726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726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726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72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726" s="20" t="str">
        <f>IF(
   T_Channel[[#This Row],[Check]]&lt;&gt;"OK",
   "",
   T_Channel[[#This Row],[ChannelSymbol]] &amp; ".evtx"
)</f>
        <v/>
      </c>
      <c r="V726" s="20" t="str">
        <f>IF(
   T_Channel[[#This Row],[Check]]&lt;&gt;"OK",
   "",
   T_Channel[[#This Row],[LogFolder]] &amp; "\" &amp; T_Channel[[#This Row],[LogFile]]
)</f>
        <v/>
      </c>
      <c r="W726" s="20" t="str">
        <f>IF(
   T_Channel[[#This Row],[Safekeeping of logs]]="",
   "",
   VLOOKUP(T_Channel[[#This Row],[Safekeeping of logs]],T_List_LogMode[],2,FALSE)
)</f>
        <v/>
      </c>
      <c r="X726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727" spans="2:24" x14ac:dyDescent="0.45">
      <c r="B727" s="7"/>
      <c r="C727" s="7"/>
      <c r="D727" s="7"/>
      <c r="E727" s="7"/>
      <c r="F727" s="6"/>
      <c r="G727" s="6"/>
      <c r="H727" s="6"/>
      <c r="I727" s="6"/>
      <c r="J727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727" s="21"/>
      <c r="L727" s="7"/>
      <c r="M727" s="41"/>
      <c r="N727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727" s="26" t="str">
        <f>IF(
   T_Channel[[#This Row],[ProviderName]]="",
   "",
   COUNTIF($N$12:$N$9982,T_Channel[[#This Row],[ProviderName]])
)</f>
        <v/>
      </c>
      <c r="P727" s="26" t="str">
        <f>IF(
   T_Channel[[#This Row],[Check]]&lt;&gt;"OK",
   "",
   IF(
      T_Channel[[#This Row],[Query]]="",
      "Empty",
      "Defined"
   )
)</f>
        <v/>
      </c>
      <c r="Q727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727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727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72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727" s="20" t="str">
        <f>IF(
   T_Channel[[#This Row],[Check]]&lt;&gt;"OK",
   "",
   T_Channel[[#This Row],[ChannelSymbol]] &amp; ".evtx"
)</f>
        <v/>
      </c>
      <c r="V727" s="20" t="str">
        <f>IF(
   T_Channel[[#This Row],[Check]]&lt;&gt;"OK",
   "",
   T_Channel[[#This Row],[LogFolder]] &amp; "\" &amp; T_Channel[[#This Row],[LogFile]]
)</f>
        <v/>
      </c>
      <c r="W727" s="20" t="str">
        <f>IF(
   T_Channel[[#This Row],[Safekeeping of logs]]="",
   "",
   VLOOKUP(T_Channel[[#This Row],[Safekeeping of logs]],T_List_LogMode[],2,FALSE)
)</f>
        <v/>
      </c>
      <c r="X727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728" spans="2:24" x14ac:dyDescent="0.45">
      <c r="B728" s="7"/>
      <c r="C728" s="7"/>
      <c r="D728" s="7"/>
      <c r="E728" s="7"/>
      <c r="F728" s="6"/>
      <c r="G728" s="6"/>
      <c r="H728" s="6"/>
      <c r="I728" s="6"/>
      <c r="J728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728" s="21"/>
      <c r="L728" s="7"/>
      <c r="M728" s="41"/>
      <c r="N728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728" s="26" t="str">
        <f>IF(
   T_Channel[[#This Row],[ProviderName]]="",
   "",
   COUNTIF($N$12:$N$9982,T_Channel[[#This Row],[ProviderName]])
)</f>
        <v/>
      </c>
      <c r="P728" s="26" t="str">
        <f>IF(
   T_Channel[[#This Row],[Check]]&lt;&gt;"OK",
   "",
   IF(
      T_Channel[[#This Row],[Query]]="",
      "Empty",
      "Defined"
   )
)</f>
        <v/>
      </c>
      <c r="Q728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728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728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72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728" s="20" t="str">
        <f>IF(
   T_Channel[[#This Row],[Check]]&lt;&gt;"OK",
   "",
   T_Channel[[#This Row],[ChannelSymbol]] &amp; ".evtx"
)</f>
        <v/>
      </c>
      <c r="V728" s="20" t="str">
        <f>IF(
   T_Channel[[#This Row],[Check]]&lt;&gt;"OK",
   "",
   T_Channel[[#This Row],[LogFolder]] &amp; "\" &amp; T_Channel[[#This Row],[LogFile]]
)</f>
        <v/>
      </c>
      <c r="W728" s="20" t="str">
        <f>IF(
   T_Channel[[#This Row],[Safekeeping of logs]]="",
   "",
   VLOOKUP(T_Channel[[#This Row],[Safekeeping of logs]],T_List_LogMode[],2,FALSE)
)</f>
        <v/>
      </c>
      <c r="X728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729" spans="2:24" x14ac:dyDescent="0.45">
      <c r="B729" s="7"/>
      <c r="C729" s="7"/>
      <c r="D729" s="7"/>
      <c r="E729" s="7"/>
      <c r="F729" s="6"/>
      <c r="G729" s="6"/>
      <c r="H729" s="6"/>
      <c r="I729" s="6"/>
      <c r="J729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729" s="21"/>
      <c r="L729" s="7"/>
      <c r="M729" s="41"/>
      <c r="N729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729" s="26" t="str">
        <f>IF(
   T_Channel[[#This Row],[ProviderName]]="",
   "",
   COUNTIF($N$12:$N$9982,T_Channel[[#This Row],[ProviderName]])
)</f>
        <v/>
      </c>
      <c r="P729" s="26" t="str">
        <f>IF(
   T_Channel[[#This Row],[Check]]&lt;&gt;"OK",
   "",
   IF(
      T_Channel[[#This Row],[Query]]="",
      "Empty",
      "Defined"
   )
)</f>
        <v/>
      </c>
      <c r="Q729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729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729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72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729" s="20" t="str">
        <f>IF(
   T_Channel[[#This Row],[Check]]&lt;&gt;"OK",
   "",
   T_Channel[[#This Row],[ChannelSymbol]] &amp; ".evtx"
)</f>
        <v/>
      </c>
      <c r="V729" s="20" t="str">
        <f>IF(
   T_Channel[[#This Row],[Check]]&lt;&gt;"OK",
   "",
   T_Channel[[#This Row],[LogFolder]] &amp; "\" &amp; T_Channel[[#This Row],[LogFile]]
)</f>
        <v/>
      </c>
      <c r="W729" s="20" t="str">
        <f>IF(
   T_Channel[[#This Row],[Safekeeping of logs]]="",
   "",
   VLOOKUP(T_Channel[[#This Row],[Safekeeping of logs]],T_List_LogMode[],2,FALSE)
)</f>
        <v/>
      </c>
      <c r="X729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730" spans="2:24" x14ac:dyDescent="0.45">
      <c r="B730" s="7"/>
      <c r="C730" s="7"/>
      <c r="D730" s="7"/>
      <c r="E730" s="7"/>
      <c r="F730" s="6"/>
      <c r="G730" s="6"/>
      <c r="H730" s="6"/>
      <c r="I730" s="6"/>
      <c r="J730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730" s="21"/>
      <c r="L730" s="7"/>
      <c r="M730" s="41"/>
      <c r="N730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730" s="26" t="str">
        <f>IF(
   T_Channel[[#This Row],[ProviderName]]="",
   "",
   COUNTIF($N$12:$N$9982,T_Channel[[#This Row],[ProviderName]])
)</f>
        <v/>
      </c>
      <c r="P730" s="26" t="str">
        <f>IF(
   T_Channel[[#This Row],[Check]]&lt;&gt;"OK",
   "",
   IF(
      T_Channel[[#This Row],[Query]]="",
      "Empty",
      "Defined"
   )
)</f>
        <v/>
      </c>
      <c r="Q730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730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730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73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730" s="20" t="str">
        <f>IF(
   T_Channel[[#This Row],[Check]]&lt;&gt;"OK",
   "",
   T_Channel[[#This Row],[ChannelSymbol]] &amp; ".evtx"
)</f>
        <v/>
      </c>
      <c r="V730" s="20" t="str">
        <f>IF(
   T_Channel[[#This Row],[Check]]&lt;&gt;"OK",
   "",
   T_Channel[[#This Row],[LogFolder]] &amp; "\" &amp; T_Channel[[#This Row],[LogFile]]
)</f>
        <v/>
      </c>
      <c r="W730" s="20" t="str">
        <f>IF(
   T_Channel[[#This Row],[Safekeeping of logs]]="",
   "",
   VLOOKUP(T_Channel[[#This Row],[Safekeeping of logs]],T_List_LogMode[],2,FALSE)
)</f>
        <v/>
      </c>
      <c r="X730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731" spans="2:24" x14ac:dyDescent="0.45">
      <c r="B731" s="7"/>
      <c r="C731" s="7"/>
      <c r="D731" s="7"/>
      <c r="E731" s="7"/>
      <c r="F731" s="6"/>
      <c r="G731" s="6"/>
      <c r="H731" s="6"/>
      <c r="I731" s="6"/>
      <c r="J731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731" s="21"/>
      <c r="L731" s="7"/>
      <c r="M731" s="41"/>
      <c r="N731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731" s="26" t="str">
        <f>IF(
   T_Channel[[#This Row],[ProviderName]]="",
   "",
   COUNTIF($N$12:$N$9982,T_Channel[[#This Row],[ProviderName]])
)</f>
        <v/>
      </c>
      <c r="P731" s="26" t="str">
        <f>IF(
   T_Channel[[#This Row],[Check]]&lt;&gt;"OK",
   "",
   IF(
      T_Channel[[#This Row],[Query]]="",
      "Empty",
      "Defined"
   )
)</f>
        <v/>
      </c>
      <c r="Q731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731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731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73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731" s="20" t="str">
        <f>IF(
   T_Channel[[#This Row],[Check]]&lt;&gt;"OK",
   "",
   T_Channel[[#This Row],[ChannelSymbol]] &amp; ".evtx"
)</f>
        <v/>
      </c>
      <c r="V731" s="20" t="str">
        <f>IF(
   T_Channel[[#This Row],[Check]]&lt;&gt;"OK",
   "",
   T_Channel[[#This Row],[LogFolder]] &amp; "\" &amp; T_Channel[[#This Row],[LogFile]]
)</f>
        <v/>
      </c>
      <c r="W731" s="20" t="str">
        <f>IF(
   T_Channel[[#This Row],[Safekeeping of logs]]="",
   "",
   VLOOKUP(T_Channel[[#This Row],[Safekeeping of logs]],T_List_LogMode[],2,FALSE)
)</f>
        <v/>
      </c>
      <c r="X731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732" spans="2:24" x14ac:dyDescent="0.45">
      <c r="B732" s="7"/>
      <c r="C732" s="7"/>
      <c r="D732" s="7"/>
      <c r="E732" s="7"/>
      <c r="F732" s="6"/>
      <c r="G732" s="6"/>
      <c r="H732" s="6"/>
      <c r="I732" s="6"/>
      <c r="J732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732" s="21"/>
      <c r="L732" s="7"/>
      <c r="M732" s="41"/>
      <c r="N732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732" s="26" t="str">
        <f>IF(
   T_Channel[[#This Row],[ProviderName]]="",
   "",
   COUNTIF($N$12:$N$9982,T_Channel[[#This Row],[ProviderName]])
)</f>
        <v/>
      </c>
      <c r="P732" s="26" t="str">
        <f>IF(
   T_Channel[[#This Row],[Check]]&lt;&gt;"OK",
   "",
   IF(
      T_Channel[[#This Row],[Query]]="",
      "Empty",
      "Defined"
   )
)</f>
        <v/>
      </c>
      <c r="Q732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732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732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73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732" s="20" t="str">
        <f>IF(
   T_Channel[[#This Row],[Check]]&lt;&gt;"OK",
   "",
   T_Channel[[#This Row],[ChannelSymbol]] &amp; ".evtx"
)</f>
        <v/>
      </c>
      <c r="V732" s="20" t="str">
        <f>IF(
   T_Channel[[#This Row],[Check]]&lt;&gt;"OK",
   "",
   T_Channel[[#This Row],[LogFolder]] &amp; "\" &amp; T_Channel[[#This Row],[LogFile]]
)</f>
        <v/>
      </c>
      <c r="W732" s="20" t="str">
        <f>IF(
   T_Channel[[#This Row],[Safekeeping of logs]]="",
   "",
   VLOOKUP(T_Channel[[#This Row],[Safekeeping of logs]],T_List_LogMode[],2,FALSE)
)</f>
        <v/>
      </c>
      <c r="X732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733" spans="2:24" x14ac:dyDescent="0.45">
      <c r="B733" s="7"/>
      <c r="C733" s="7"/>
      <c r="D733" s="7"/>
      <c r="E733" s="7"/>
      <c r="F733" s="6"/>
      <c r="G733" s="6"/>
      <c r="H733" s="6"/>
      <c r="I733" s="6"/>
      <c r="J733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733" s="21"/>
      <c r="L733" s="7"/>
      <c r="M733" s="41"/>
      <c r="N733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733" s="26" t="str">
        <f>IF(
   T_Channel[[#This Row],[ProviderName]]="",
   "",
   COUNTIF($N$12:$N$9982,T_Channel[[#This Row],[ProviderName]])
)</f>
        <v/>
      </c>
      <c r="P733" s="26" t="str">
        <f>IF(
   T_Channel[[#This Row],[Check]]&lt;&gt;"OK",
   "",
   IF(
      T_Channel[[#This Row],[Query]]="",
      "Empty",
      "Defined"
   )
)</f>
        <v/>
      </c>
      <c r="Q733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733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733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73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733" s="20" t="str">
        <f>IF(
   T_Channel[[#This Row],[Check]]&lt;&gt;"OK",
   "",
   T_Channel[[#This Row],[ChannelSymbol]] &amp; ".evtx"
)</f>
        <v/>
      </c>
      <c r="V733" s="20" t="str">
        <f>IF(
   T_Channel[[#This Row],[Check]]&lt;&gt;"OK",
   "",
   T_Channel[[#This Row],[LogFolder]] &amp; "\" &amp; T_Channel[[#This Row],[LogFile]]
)</f>
        <v/>
      </c>
      <c r="W733" s="20" t="str">
        <f>IF(
   T_Channel[[#This Row],[Safekeeping of logs]]="",
   "",
   VLOOKUP(T_Channel[[#This Row],[Safekeeping of logs]],T_List_LogMode[],2,FALSE)
)</f>
        <v/>
      </c>
      <c r="X733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734" spans="2:24" x14ac:dyDescent="0.45">
      <c r="B734" s="7"/>
      <c r="C734" s="7"/>
      <c r="D734" s="7"/>
      <c r="E734" s="7"/>
      <c r="F734" s="6"/>
      <c r="G734" s="6"/>
      <c r="H734" s="6"/>
      <c r="I734" s="6"/>
      <c r="J734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734" s="21"/>
      <c r="L734" s="7"/>
      <c r="M734" s="41"/>
      <c r="N734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734" s="26" t="str">
        <f>IF(
   T_Channel[[#This Row],[ProviderName]]="",
   "",
   COUNTIF($N$12:$N$9982,T_Channel[[#This Row],[ProviderName]])
)</f>
        <v/>
      </c>
      <c r="P734" s="26" t="str">
        <f>IF(
   T_Channel[[#This Row],[Check]]&lt;&gt;"OK",
   "",
   IF(
      T_Channel[[#This Row],[Query]]="",
      "Empty",
      "Defined"
   )
)</f>
        <v/>
      </c>
      <c r="Q734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734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734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73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734" s="20" t="str">
        <f>IF(
   T_Channel[[#This Row],[Check]]&lt;&gt;"OK",
   "",
   T_Channel[[#This Row],[ChannelSymbol]] &amp; ".evtx"
)</f>
        <v/>
      </c>
      <c r="V734" s="20" t="str">
        <f>IF(
   T_Channel[[#This Row],[Check]]&lt;&gt;"OK",
   "",
   T_Channel[[#This Row],[LogFolder]] &amp; "\" &amp; T_Channel[[#This Row],[LogFile]]
)</f>
        <v/>
      </c>
      <c r="W734" s="20" t="str">
        <f>IF(
   T_Channel[[#This Row],[Safekeeping of logs]]="",
   "",
   VLOOKUP(T_Channel[[#This Row],[Safekeeping of logs]],T_List_LogMode[],2,FALSE)
)</f>
        <v/>
      </c>
      <c r="X734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735" spans="2:24" x14ac:dyDescent="0.45">
      <c r="B735" s="7"/>
      <c r="C735" s="7"/>
      <c r="D735" s="7"/>
      <c r="E735" s="7"/>
      <c r="F735" s="6"/>
      <c r="G735" s="6"/>
      <c r="H735" s="6"/>
      <c r="I735" s="6"/>
      <c r="J735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735" s="21"/>
      <c r="L735" s="7"/>
      <c r="M735" s="41"/>
      <c r="N735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735" s="26" t="str">
        <f>IF(
   T_Channel[[#This Row],[ProviderName]]="",
   "",
   COUNTIF($N$12:$N$9982,T_Channel[[#This Row],[ProviderName]])
)</f>
        <v/>
      </c>
      <c r="P735" s="26" t="str">
        <f>IF(
   T_Channel[[#This Row],[Check]]&lt;&gt;"OK",
   "",
   IF(
      T_Channel[[#This Row],[Query]]="",
      "Empty",
      "Defined"
   )
)</f>
        <v/>
      </c>
      <c r="Q735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735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735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73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735" s="20" t="str">
        <f>IF(
   T_Channel[[#This Row],[Check]]&lt;&gt;"OK",
   "",
   T_Channel[[#This Row],[ChannelSymbol]] &amp; ".evtx"
)</f>
        <v/>
      </c>
      <c r="V735" s="20" t="str">
        <f>IF(
   T_Channel[[#This Row],[Check]]&lt;&gt;"OK",
   "",
   T_Channel[[#This Row],[LogFolder]] &amp; "\" &amp; T_Channel[[#This Row],[LogFile]]
)</f>
        <v/>
      </c>
      <c r="W735" s="20" t="str">
        <f>IF(
   T_Channel[[#This Row],[Safekeeping of logs]]="",
   "",
   VLOOKUP(T_Channel[[#This Row],[Safekeeping of logs]],T_List_LogMode[],2,FALSE)
)</f>
        <v/>
      </c>
      <c r="X735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736" spans="2:24" x14ac:dyDescent="0.45">
      <c r="B736" s="7"/>
      <c r="C736" s="7"/>
      <c r="D736" s="7"/>
      <c r="E736" s="7"/>
      <c r="F736" s="6"/>
      <c r="G736" s="6"/>
      <c r="H736" s="6"/>
      <c r="I736" s="6"/>
      <c r="J736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736" s="21"/>
      <c r="L736" s="7"/>
      <c r="M736" s="41"/>
      <c r="N736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736" s="26" t="str">
        <f>IF(
   T_Channel[[#This Row],[ProviderName]]="",
   "",
   COUNTIF($N$12:$N$9982,T_Channel[[#This Row],[ProviderName]])
)</f>
        <v/>
      </c>
      <c r="P736" s="26" t="str">
        <f>IF(
   T_Channel[[#This Row],[Check]]&lt;&gt;"OK",
   "",
   IF(
      T_Channel[[#This Row],[Query]]="",
      "Empty",
      "Defined"
   )
)</f>
        <v/>
      </c>
      <c r="Q736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736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736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73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736" s="20" t="str">
        <f>IF(
   T_Channel[[#This Row],[Check]]&lt;&gt;"OK",
   "",
   T_Channel[[#This Row],[ChannelSymbol]] &amp; ".evtx"
)</f>
        <v/>
      </c>
      <c r="V736" s="20" t="str">
        <f>IF(
   T_Channel[[#This Row],[Check]]&lt;&gt;"OK",
   "",
   T_Channel[[#This Row],[LogFolder]] &amp; "\" &amp; T_Channel[[#This Row],[LogFile]]
)</f>
        <v/>
      </c>
      <c r="W736" s="20" t="str">
        <f>IF(
   T_Channel[[#This Row],[Safekeeping of logs]]="",
   "",
   VLOOKUP(T_Channel[[#This Row],[Safekeeping of logs]],T_List_LogMode[],2,FALSE)
)</f>
        <v/>
      </c>
      <c r="X736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737" spans="2:24" x14ac:dyDescent="0.45">
      <c r="B737" s="7"/>
      <c r="C737" s="7"/>
      <c r="D737" s="7"/>
      <c r="E737" s="7"/>
      <c r="F737" s="6"/>
      <c r="G737" s="6"/>
      <c r="H737" s="6"/>
      <c r="I737" s="6"/>
      <c r="J737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737" s="21"/>
      <c r="L737" s="7"/>
      <c r="M737" s="41"/>
      <c r="N737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737" s="26" t="str">
        <f>IF(
   T_Channel[[#This Row],[ProviderName]]="",
   "",
   COUNTIF($N$12:$N$9982,T_Channel[[#This Row],[ProviderName]])
)</f>
        <v/>
      </c>
      <c r="P737" s="26" t="str">
        <f>IF(
   T_Channel[[#This Row],[Check]]&lt;&gt;"OK",
   "",
   IF(
      T_Channel[[#This Row],[Query]]="",
      "Empty",
      "Defined"
   )
)</f>
        <v/>
      </c>
      <c r="Q737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737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737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73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737" s="20" t="str">
        <f>IF(
   T_Channel[[#This Row],[Check]]&lt;&gt;"OK",
   "",
   T_Channel[[#This Row],[ChannelSymbol]] &amp; ".evtx"
)</f>
        <v/>
      </c>
      <c r="V737" s="20" t="str">
        <f>IF(
   T_Channel[[#This Row],[Check]]&lt;&gt;"OK",
   "",
   T_Channel[[#This Row],[LogFolder]] &amp; "\" &amp; T_Channel[[#This Row],[LogFile]]
)</f>
        <v/>
      </c>
      <c r="W737" s="20" t="str">
        <f>IF(
   T_Channel[[#This Row],[Safekeeping of logs]]="",
   "",
   VLOOKUP(T_Channel[[#This Row],[Safekeeping of logs]],T_List_LogMode[],2,FALSE)
)</f>
        <v/>
      </c>
      <c r="X737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738" spans="2:24" x14ac:dyDescent="0.45">
      <c r="B738" s="7"/>
      <c r="C738" s="7"/>
      <c r="D738" s="7"/>
      <c r="E738" s="7"/>
      <c r="F738" s="6"/>
      <c r="G738" s="6"/>
      <c r="H738" s="6"/>
      <c r="I738" s="6"/>
      <c r="J738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738" s="21"/>
      <c r="L738" s="7"/>
      <c r="M738" s="41"/>
      <c r="N738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738" s="26" t="str">
        <f>IF(
   T_Channel[[#This Row],[ProviderName]]="",
   "",
   COUNTIF($N$12:$N$9982,T_Channel[[#This Row],[ProviderName]])
)</f>
        <v/>
      </c>
      <c r="P738" s="26" t="str">
        <f>IF(
   T_Channel[[#This Row],[Check]]&lt;&gt;"OK",
   "",
   IF(
      T_Channel[[#This Row],[Query]]="",
      "Empty",
      "Defined"
   )
)</f>
        <v/>
      </c>
      <c r="Q738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738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738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73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738" s="20" t="str">
        <f>IF(
   T_Channel[[#This Row],[Check]]&lt;&gt;"OK",
   "",
   T_Channel[[#This Row],[ChannelSymbol]] &amp; ".evtx"
)</f>
        <v/>
      </c>
      <c r="V738" s="20" t="str">
        <f>IF(
   T_Channel[[#This Row],[Check]]&lt;&gt;"OK",
   "",
   T_Channel[[#This Row],[LogFolder]] &amp; "\" &amp; T_Channel[[#This Row],[LogFile]]
)</f>
        <v/>
      </c>
      <c r="W738" s="20" t="str">
        <f>IF(
   T_Channel[[#This Row],[Safekeeping of logs]]="",
   "",
   VLOOKUP(T_Channel[[#This Row],[Safekeeping of logs]],T_List_LogMode[],2,FALSE)
)</f>
        <v/>
      </c>
      <c r="X738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739" spans="2:24" x14ac:dyDescent="0.45">
      <c r="B739" s="7"/>
      <c r="C739" s="7"/>
      <c r="D739" s="7"/>
      <c r="E739" s="7"/>
      <c r="F739" s="6"/>
      <c r="G739" s="6"/>
      <c r="H739" s="6"/>
      <c r="I739" s="6"/>
      <c r="J739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739" s="21"/>
      <c r="L739" s="7"/>
      <c r="M739" s="41"/>
      <c r="N739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739" s="26" t="str">
        <f>IF(
   T_Channel[[#This Row],[ProviderName]]="",
   "",
   COUNTIF($N$12:$N$9982,T_Channel[[#This Row],[ProviderName]])
)</f>
        <v/>
      </c>
      <c r="P739" s="26" t="str">
        <f>IF(
   T_Channel[[#This Row],[Check]]&lt;&gt;"OK",
   "",
   IF(
      T_Channel[[#This Row],[Query]]="",
      "Empty",
      "Defined"
   )
)</f>
        <v/>
      </c>
      <c r="Q739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739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739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73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739" s="20" t="str">
        <f>IF(
   T_Channel[[#This Row],[Check]]&lt;&gt;"OK",
   "",
   T_Channel[[#This Row],[ChannelSymbol]] &amp; ".evtx"
)</f>
        <v/>
      </c>
      <c r="V739" s="20" t="str">
        <f>IF(
   T_Channel[[#This Row],[Check]]&lt;&gt;"OK",
   "",
   T_Channel[[#This Row],[LogFolder]] &amp; "\" &amp; T_Channel[[#This Row],[LogFile]]
)</f>
        <v/>
      </c>
      <c r="W739" s="20" t="str">
        <f>IF(
   T_Channel[[#This Row],[Safekeeping of logs]]="",
   "",
   VLOOKUP(T_Channel[[#This Row],[Safekeeping of logs]],T_List_LogMode[],2,FALSE)
)</f>
        <v/>
      </c>
      <c r="X739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740" spans="2:24" x14ac:dyDescent="0.45">
      <c r="B740" s="7"/>
      <c r="C740" s="7"/>
      <c r="D740" s="7"/>
      <c r="E740" s="7"/>
      <c r="F740" s="6"/>
      <c r="G740" s="6"/>
      <c r="H740" s="6"/>
      <c r="I740" s="6"/>
      <c r="J740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740" s="21"/>
      <c r="L740" s="7"/>
      <c r="M740" s="41"/>
      <c r="N740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740" s="26" t="str">
        <f>IF(
   T_Channel[[#This Row],[ProviderName]]="",
   "",
   COUNTIF($N$12:$N$9982,T_Channel[[#This Row],[ProviderName]])
)</f>
        <v/>
      </c>
      <c r="P740" s="26" t="str">
        <f>IF(
   T_Channel[[#This Row],[Check]]&lt;&gt;"OK",
   "",
   IF(
      T_Channel[[#This Row],[Query]]="",
      "Empty",
      "Defined"
   )
)</f>
        <v/>
      </c>
      <c r="Q740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740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740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74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740" s="20" t="str">
        <f>IF(
   T_Channel[[#This Row],[Check]]&lt;&gt;"OK",
   "",
   T_Channel[[#This Row],[ChannelSymbol]] &amp; ".evtx"
)</f>
        <v/>
      </c>
      <c r="V740" s="20" t="str">
        <f>IF(
   T_Channel[[#This Row],[Check]]&lt;&gt;"OK",
   "",
   T_Channel[[#This Row],[LogFolder]] &amp; "\" &amp; T_Channel[[#This Row],[LogFile]]
)</f>
        <v/>
      </c>
      <c r="W740" s="20" t="str">
        <f>IF(
   T_Channel[[#This Row],[Safekeeping of logs]]="",
   "",
   VLOOKUP(T_Channel[[#This Row],[Safekeeping of logs]],T_List_LogMode[],2,FALSE)
)</f>
        <v/>
      </c>
      <c r="X740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741" spans="2:24" x14ac:dyDescent="0.45">
      <c r="B741" s="7"/>
      <c r="C741" s="7"/>
      <c r="D741" s="7"/>
      <c r="E741" s="7"/>
      <c r="F741" s="6"/>
      <c r="G741" s="6"/>
      <c r="H741" s="6"/>
      <c r="I741" s="6"/>
      <c r="J741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741" s="21"/>
      <c r="L741" s="7"/>
      <c r="M741" s="41"/>
      <c r="N741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741" s="26" t="str">
        <f>IF(
   T_Channel[[#This Row],[ProviderName]]="",
   "",
   COUNTIF($N$12:$N$9982,T_Channel[[#This Row],[ProviderName]])
)</f>
        <v/>
      </c>
      <c r="P741" s="26" t="str">
        <f>IF(
   T_Channel[[#This Row],[Check]]&lt;&gt;"OK",
   "",
   IF(
      T_Channel[[#This Row],[Query]]="",
      "Empty",
      "Defined"
   )
)</f>
        <v/>
      </c>
      <c r="Q741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741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741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74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741" s="20" t="str">
        <f>IF(
   T_Channel[[#This Row],[Check]]&lt;&gt;"OK",
   "",
   T_Channel[[#This Row],[ChannelSymbol]] &amp; ".evtx"
)</f>
        <v/>
      </c>
      <c r="V741" s="20" t="str">
        <f>IF(
   T_Channel[[#This Row],[Check]]&lt;&gt;"OK",
   "",
   T_Channel[[#This Row],[LogFolder]] &amp; "\" &amp; T_Channel[[#This Row],[LogFile]]
)</f>
        <v/>
      </c>
      <c r="W741" s="20" t="str">
        <f>IF(
   T_Channel[[#This Row],[Safekeeping of logs]]="",
   "",
   VLOOKUP(T_Channel[[#This Row],[Safekeeping of logs]],T_List_LogMode[],2,FALSE)
)</f>
        <v/>
      </c>
      <c r="X741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742" spans="2:24" x14ac:dyDescent="0.45">
      <c r="B742" s="7"/>
      <c r="C742" s="7"/>
      <c r="D742" s="7"/>
      <c r="E742" s="7"/>
      <c r="F742" s="6"/>
      <c r="G742" s="6"/>
      <c r="H742" s="6"/>
      <c r="I742" s="6"/>
      <c r="J742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742" s="21"/>
      <c r="L742" s="7"/>
      <c r="M742" s="41"/>
      <c r="N742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742" s="26" t="str">
        <f>IF(
   T_Channel[[#This Row],[ProviderName]]="",
   "",
   COUNTIF($N$12:$N$9982,T_Channel[[#This Row],[ProviderName]])
)</f>
        <v/>
      </c>
      <c r="P742" s="26" t="str">
        <f>IF(
   T_Channel[[#This Row],[Check]]&lt;&gt;"OK",
   "",
   IF(
      T_Channel[[#This Row],[Query]]="",
      "Empty",
      "Defined"
   )
)</f>
        <v/>
      </c>
      <c r="Q742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742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742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74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742" s="20" t="str">
        <f>IF(
   T_Channel[[#This Row],[Check]]&lt;&gt;"OK",
   "",
   T_Channel[[#This Row],[ChannelSymbol]] &amp; ".evtx"
)</f>
        <v/>
      </c>
      <c r="V742" s="20" t="str">
        <f>IF(
   T_Channel[[#This Row],[Check]]&lt;&gt;"OK",
   "",
   T_Channel[[#This Row],[LogFolder]] &amp; "\" &amp; T_Channel[[#This Row],[LogFile]]
)</f>
        <v/>
      </c>
      <c r="W742" s="20" t="str">
        <f>IF(
   T_Channel[[#This Row],[Safekeeping of logs]]="",
   "",
   VLOOKUP(T_Channel[[#This Row],[Safekeeping of logs]],T_List_LogMode[],2,FALSE)
)</f>
        <v/>
      </c>
      <c r="X742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743" spans="2:24" x14ac:dyDescent="0.45">
      <c r="B743" s="7"/>
      <c r="C743" s="7"/>
      <c r="D743" s="7"/>
      <c r="E743" s="7"/>
      <c r="F743" s="6"/>
      <c r="G743" s="6"/>
      <c r="H743" s="6"/>
      <c r="I743" s="6"/>
      <c r="J743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743" s="21"/>
      <c r="L743" s="7"/>
      <c r="M743" s="41"/>
      <c r="N743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743" s="26" t="str">
        <f>IF(
   T_Channel[[#This Row],[ProviderName]]="",
   "",
   COUNTIF($N$12:$N$9982,T_Channel[[#This Row],[ProviderName]])
)</f>
        <v/>
      </c>
      <c r="P743" s="26" t="str">
        <f>IF(
   T_Channel[[#This Row],[Check]]&lt;&gt;"OK",
   "",
   IF(
      T_Channel[[#This Row],[Query]]="",
      "Empty",
      "Defined"
   )
)</f>
        <v/>
      </c>
      <c r="Q743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743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743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74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743" s="20" t="str">
        <f>IF(
   T_Channel[[#This Row],[Check]]&lt;&gt;"OK",
   "",
   T_Channel[[#This Row],[ChannelSymbol]] &amp; ".evtx"
)</f>
        <v/>
      </c>
      <c r="V743" s="20" t="str">
        <f>IF(
   T_Channel[[#This Row],[Check]]&lt;&gt;"OK",
   "",
   T_Channel[[#This Row],[LogFolder]] &amp; "\" &amp; T_Channel[[#This Row],[LogFile]]
)</f>
        <v/>
      </c>
      <c r="W743" s="20" t="str">
        <f>IF(
   T_Channel[[#This Row],[Safekeeping of logs]]="",
   "",
   VLOOKUP(T_Channel[[#This Row],[Safekeeping of logs]],T_List_LogMode[],2,FALSE)
)</f>
        <v/>
      </c>
      <c r="X743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744" spans="2:24" x14ac:dyDescent="0.45">
      <c r="B744" s="7"/>
      <c r="C744" s="7"/>
      <c r="D744" s="7"/>
      <c r="E744" s="7"/>
      <c r="F744" s="6"/>
      <c r="G744" s="6"/>
      <c r="H744" s="6"/>
      <c r="I744" s="6"/>
      <c r="J744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744" s="21"/>
      <c r="L744" s="7"/>
      <c r="M744" s="41"/>
      <c r="N744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744" s="26" t="str">
        <f>IF(
   T_Channel[[#This Row],[ProviderName]]="",
   "",
   COUNTIF($N$12:$N$9982,T_Channel[[#This Row],[ProviderName]])
)</f>
        <v/>
      </c>
      <c r="P744" s="26" t="str">
        <f>IF(
   T_Channel[[#This Row],[Check]]&lt;&gt;"OK",
   "",
   IF(
      T_Channel[[#This Row],[Query]]="",
      "Empty",
      "Defined"
   )
)</f>
        <v/>
      </c>
      <c r="Q744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744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744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74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744" s="20" t="str">
        <f>IF(
   T_Channel[[#This Row],[Check]]&lt;&gt;"OK",
   "",
   T_Channel[[#This Row],[ChannelSymbol]] &amp; ".evtx"
)</f>
        <v/>
      </c>
      <c r="V744" s="20" t="str">
        <f>IF(
   T_Channel[[#This Row],[Check]]&lt;&gt;"OK",
   "",
   T_Channel[[#This Row],[LogFolder]] &amp; "\" &amp; T_Channel[[#This Row],[LogFile]]
)</f>
        <v/>
      </c>
      <c r="W744" s="20" t="str">
        <f>IF(
   T_Channel[[#This Row],[Safekeeping of logs]]="",
   "",
   VLOOKUP(T_Channel[[#This Row],[Safekeeping of logs]],T_List_LogMode[],2,FALSE)
)</f>
        <v/>
      </c>
      <c r="X744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745" spans="2:24" x14ac:dyDescent="0.45">
      <c r="B745" s="7"/>
      <c r="C745" s="7"/>
      <c r="D745" s="7"/>
      <c r="E745" s="7"/>
      <c r="F745" s="6"/>
      <c r="G745" s="6"/>
      <c r="H745" s="6"/>
      <c r="I745" s="6"/>
      <c r="J745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745" s="21"/>
      <c r="L745" s="7"/>
      <c r="M745" s="41"/>
      <c r="N745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745" s="26" t="str">
        <f>IF(
   T_Channel[[#This Row],[ProviderName]]="",
   "",
   COUNTIF($N$12:$N$9982,T_Channel[[#This Row],[ProviderName]])
)</f>
        <v/>
      </c>
      <c r="P745" s="26" t="str">
        <f>IF(
   T_Channel[[#This Row],[Check]]&lt;&gt;"OK",
   "",
   IF(
      T_Channel[[#This Row],[Query]]="",
      "Empty",
      "Defined"
   )
)</f>
        <v/>
      </c>
      <c r="Q745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745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745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74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745" s="20" t="str">
        <f>IF(
   T_Channel[[#This Row],[Check]]&lt;&gt;"OK",
   "",
   T_Channel[[#This Row],[ChannelSymbol]] &amp; ".evtx"
)</f>
        <v/>
      </c>
      <c r="V745" s="20" t="str">
        <f>IF(
   T_Channel[[#This Row],[Check]]&lt;&gt;"OK",
   "",
   T_Channel[[#This Row],[LogFolder]] &amp; "\" &amp; T_Channel[[#This Row],[LogFile]]
)</f>
        <v/>
      </c>
      <c r="W745" s="20" t="str">
        <f>IF(
   T_Channel[[#This Row],[Safekeeping of logs]]="",
   "",
   VLOOKUP(T_Channel[[#This Row],[Safekeeping of logs]],T_List_LogMode[],2,FALSE)
)</f>
        <v/>
      </c>
      <c r="X745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746" spans="2:24" x14ac:dyDescent="0.45">
      <c r="B746" s="7"/>
      <c r="C746" s="7"/>
      <c r="D746" s="7"/>
      <c r="E746" s="7"/>
      <c r="F746" s="6"/>
      <c r="G746" s="6"/>
      <c r="H746" s="6"/>
      <c r="I746" s="6"/>
      <c r="J746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746" s="21"/>
      <c r="L746" s="7"/>
      <c r="M746" s="41"/>
      <c r="N746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746" s="26" t="str">
        <f>IF(
   T_Channel[[#This Row],[ProviderName]]="",
   "",
   COUNTIF($N$12:$N$9982,T_Channel[[#This Row],[ProviderName]])
)</f>
        <v/>
      </c>
      <c r="P746" s="26" t="str">
        <f>IF(
   T_Channel[[#This Row],[Check]]&lt;&gt;"OK",
   "",
   IF(
      T_Channel[[#This Row],[Query]]="",
      "Empty",
      "Defined"
   )
)</f>
        <v/>
      </c>
      <c r="Q746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746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746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74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746" s="20" t="str">
        <f>IF(
   T_Channel[[#This Row],[Check]]&lt;&gt;"OK",
   "",
   T_Channel[[#This Row],[ChannelSymbol]] &amp; ".evtx"
)</f>
        <v/>
      </c>
      <c r="V746" s="20" t="str">
        <f>IF(
   T_Channel[[#This Row],[Check]]&lt;&gt;"OK",
   "",
   T_Channel[[#This Row],[LogFolder]] &amp; "\" &amp; T_Channel[[#This Row],[LogFile]]
)</f>
        <v/>
      </c>
      <c r="W746" s="20" t="str">
        <f>IF(
   T_Channel[[#This Row],[Safekeeping of logs]]="",
   "",
   VLOOKUP(T_Channel[[#This Row],[Safekeeping of logs]],T_List_LogMode[],2,FALSE)
)</f>
        <v/>
      </c>
      <c r="X746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747" spans="2:24" x14ac:dyDescent="0.45">
      <c r="B747" s="7"/>
      <c r="C747" s="7"/>
      <c r="D747" s="7"/>
      <c r="E747" s="7"/>
      <c r="F747" s="6"/>
      <c r="G747" s="6"/>
      <c r="H747" s="6"/>
      <c r="I747" s="6"/>
      <c r="J747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747" s="21"/>
      <c r="L747" s="7"/>
      <c r="M747" s="41"/>
      <c r="N747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747" s="26" t="str">
        <f>IF(
   T_Channel[[#This Row],[ProviderName]]="",
   "",
   COUNTIF($N$12:$N$9982,T_Channel[[#This Row],[ProviderName]])
)</f>
        <v/>
      </c>
      <c r="P747" s="26" t="str">
        <f>IF(
   T_Channel[[#This Row],[Check]]&lt;&gt;"OK",
   "",
   IF(
      T_Channel[[#This Row],[Query]]="",
      "Empty",
      "Defined"
   )
)</f>
        <v/>
      </c>
      <c r="Q747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747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747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74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747" s="20" t="str">
        <f>IF(
   T_Channel[[#This Row],[Check]]&lt;&gt;"OK",
   "",
   T_Channel[[#This Row],[ChannelSymbol]] &amp; ".evtx"
)</f>
        <v/>
      </c>
      <c r="V747" s="20" t="str">
        <f>IF(
   T_Channel[[#This Row],[Check]]&lt;&gt;"OK",
   "",
   T_Channel[[#This Row],[LogFolder]] &amp; "\" &amp; T_Channel[[#This Row],[LogFile]]
)</f>
        <v/>
      </c>
      <c r="W747" s="20" t="str">
        <f>IF(
   T_Channel[[#This Row],[Safekeeping of logs]]="",
   "",
   VLOOKUP(T_Channel[[#This Row],[Safekeeping of logs]],T_List_LogMode[],2,FALSE)
)</f>
        <v/>
      </c>
      <c r="X747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748" spans="2:24" x14ac:dyDescent="0.45">
      <c r="B748" s="7"/>
      <c r="C748" s="7"/>
      <c r="D748" s="7"/>
      <c r="E748" s="7"/>
      <c r="F748" s="6"/>
      <c r="G748" s="6"/>
      <c r="H748" s="6"/>
      <c r="I748" s="6"/>
      <c r="J748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748" s="21"/>
      <c r="L748" s="7"/>
      <c r="M748" s="41"/>
      <c r="N748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748" s="26" t="str">
        <f>IF(
   T_Channel[[#This Row],[ProviderName]]="",
   "",
   COUNTIF($N$12:$N$9982,T_Channel[[#This Row],[ProviderName]])
)</f>
        <v/>
      </c>
      <c r="P748" s="26" t="str">
        <f>IF(
   T_Channel[[#This Row],[Check]]&lt;&gt;"OK",
   "",
   IF(
      T_Channel[[#This Row],[Query]]="",
      "Empty",
      "Defined"
   )
)</f>
        <v/>
      </c>
      <c r="Q748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748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748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74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748" s="20" t="str">
        <f>IF(
   T_Channel[[#This Row],[Check]]&lt;&gt;"OK",
   "",
   T_Channel[[#This Row],[ChannelSymbol]] &amp; ".evtx"
)</f>
        <v/>
      </c>
      <c r="V748" s="20" t="str">
        <f>IF(
   T_Channel[[#This Row],[Check]]&lt;&gt;"OK",
   "",
   T_Channel[[#This Row],[LogFolder]] &amp; "\" &amp; T_Channel[[#This Row],[LogFile]]
)</f>
        <v/>
      </c>
      <c r="W748" s="20" t="str">
        <f>IF(
   T_Channel[[#This Row],[Safekeeping of logs]]="",
   "",
   VLOOKUP(T_Channel[[#This Row],[Safekeeping of logs]],T_List_LogMode[],2,FALSE)
)</f>
        <v/>
      </c>
      <c r="X748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749" spans="2:24" x14ac:dyDescent="0.45">
      <c r="B749" s="7"/>
      <c r="C749" s="7"/>
      <c r="D749" s="7"/>
      <c r="E749" s="7"/>
      <c r="F749" s="6"/>
      <c r="G749" s="6"/>
      <c r="H749" s="6"/>
      <c r="I749" s="6"/>
      <c r="J749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749" s="21"/>
      <c r="L749" s="7"/>
      <c r="M749" s="41"/>
      <c r="N749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749" s="26" t="str">
        <f>IF(
   T_Channel[[#This Row],[ProviderName]]="",
   "",
   COUNTIF($N$12:$N$9982,T_Channel[[#This Row],[ProviderName]])
)</f>
        <v/>
      </c>
      <c r="P749" s="26" t="str">
        <f>IF(
   T_Channel[[#This Row],[Check]]&lt;&gt;"OK",
   "",
   IF(
      T_Channel[[#This Row],[Query]]="",
      "Empty",
      "Defined"
   )
)</f>
        <v/>
      </c>
      <c r="Q749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749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749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74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749" s="20" t="str">
        <f>IF(
   T_Channel[[#This Row],[Check]]&lt;&gt;"OK",
   "",
   T_Channel[[#This Row],[ChannelSymbol]] &amp; ".evtx"
)</f>
        <v/>
      </c>
      <c r="V749" s="20" t="str">
        <f>IF(
   T_Channel[[#This Row],[Check]]&lt;&gt;"OK",
   "",
   T_Channel[[#This Row],[LogFolder]] &amp; "\" &amp; T_Channel[[#This Row],[LogFile]]
)</f>
        <v/>
      </c>
      <c r="W749" s="20" t="str">
        <f>IF(
   T_Channel[[#This Row],[Safekeeping of logs]]="",
   "",
   VLOOKUP(T_Channel[[#This Row],[Safekeeping of logs]],T_List_LogMode[],2,FALSE)
)</f>
        <v/>
      </c>
      <c r="X749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750" spans="2:24" x14ac:dyDescent="0.45">
      <c r="B750" s="7"/>
      <c r="C750" s="7"/>
      <c r="D750" s="7"/>
      <c r="E750" s="7"/>
      <c r="F750" s="6"/>
      <c r="G750" s="6"/>
      <c r="H750" s="6"/>
      <c r="I750" s="6"/>
      <c r="J750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750" s="21"/>
      <c r="L750" s="7"/>
      <c r="M750" s="41"/>
      <c r="N750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750" s="26" t="str">
        <f>IF(
   T_Channel[[#This Row],[ProviderName]]="",
   "",
   COUNTIF($N$12:$N$9982,T_Channel[[#This Row],[ProviderName]])
)</f>
        <v/>
      </c>
      <c r="P750" s="26" t="str">
        <f>IF(
   T_Channel[[#This Row],[Check]]&lt;&gt;"OK",
   "",
   IF(
      T_Channel[[#This Row],[Query]]="",
      "Empty",
      "Defined"
   )
)</f>
        <v/>
      </c>
      <c r="Q750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750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750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75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750" s="20" t="str">
        <f>IF(
   T_Channel[[#This Row],[Check]]&lt;&gt;"OK",
   "",
   T_Channel[[#This Row],[ChannelSymbol]] &amp; ".evtx"
)</f>
        <v/>
      </c>
      <c r="V750" s="20" t="str">
        <f>IF(
   T_Channel[[#This Row],[Check]]&lt;&gt;"OK",
   "",
   T_Channel[[#This Row],[LogFolder]] &amp; "\" &amp; T_Channel[[#This Row],[LogFile]]
)</f>
        <v/>
      </c>
      <c r="W750" s="20" t="str">
        <f>IF(
   T_Channel[[#This Row],[Safekeeping of logs]]="",
   "",
   VLOOKUP(T_Channel[[#This Row],[Safekeeping of logs]],T_List_LogMode[],2,FALSE)
)</f>
        <v/>
      </c>
      <c r="X750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751" spans="2:24" x14ac:dyDescent="0.45">
      <c r="B751" s="7"/>
      <c r="C751" s="7"/>
      <c r="D751" s="7"/>
      <c r="E751" s="7"/>
      <c r="F751" s="6"/>
      <c r="G751" s="6"/>
      <c r="H751" s="6"/>
      <c r="I751" s="6"/>
      <c r="J751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751" s="21"/>
      <c r="L751" s="7"/>
      <c r="M751" s="41"/>
      <c r="N751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751" s="26" t="str">
        <f>IF(
   T_Channel[[#This Row],[ProviderName]]="",
   "",
   COUNTIF($N$12:$N$9982,T_Channel[[#This Row],[ProviderName]])
)</f>
        <v/>
      </c>
      <c r="P751" s="26" t="str">
        <f>IF(
   T_Channel[[#This Row],[Check]]&lt;&gt;"OK",
   "",
   IF(
      T_Channel[[#This Row],[Query]]="",
      "Empty",
      "Defined"
   )
)</f>
        <v/>
      </c>
      <c r="Q751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751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751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75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751" s="20" t="str">
        <f>IF(
   T_Channel[[#This Row],[Check]]&lt;&gt;"OK",
   "",
   T_Channel[[#This Row],[ChannelSymbol]] &amp; ".evtx"
)</f>
        <v/>
      </c>
      <c r="V751" s="20" t="str">
        <f>IF(
   T_Channel[[#This Row],[Check]]&lt;&gt;"OK",
   "",
   T_Channel[[#This Row],[LogFolder]] &amp; "\" &amp; T_Channel[[#This Row],[LogFile]]
)</f>
        <v/>
      </c>
      <c r="W751" s="20" t="str">
        <f>IF(
   T_Channel[[#This Row],[Safekeeping of logs]]="",
   "",
   VLOOKUP(T_Channel[[#This Row],[Safekeeping of logs]],T_List_LogMode[],2,FALSE)
)</f>
        <v/>
      </c>
      <c r="X751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752" spans="2:24" x14ac:dyDescent="0.45">
      <c r="B752" s="7"/>
      <c r="C752" s="7"/>
      <c r="D752" s="7"/>
      <c r="E752" s="7"/>
      <c r="F752" s="6"/>
      <c r="G752" s="6"/>
      <c r="H752" s="6"/>
      <c r="I752" s="6"/>
      <c r="J752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752" s="21"/>
      <c r="L752" s="7"/>
      <c r="M752" s="41"/>
      <c r="N752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752" s="26" t="str">
        <f>IF(
   T_Channel[[#This Row],[ProviderName]]="",
   "",
   COUNTIF($N$12:$N$9982,T_Channel[[#This Row],[ProviderName]])
)</f>
        <v/>
      </c>
      <c r="P752" s="26" t="str">
        <f>IF(
   T_Channel[[#This Row],[Check]]&lt;&gt;"OK",
   "",
   IF(
      T_Channel[[#This Row],[Query]]="",
      "Empty",
      "Defined"
   )
)</f>
        <v/>
      </c>
      <c r="Q752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752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752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75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752" s="20" t="str">
        <f>IF(
   T_Channel[[#This Row],[Check]]&lt;&gt;"OK",
   "",
   T_Channel[[#This Row],[ChannelSymbol]] &amp; ".evtx"
)</f>
        <v/>
      </c>
      <c r="V752" s="20" t="str">
        <f>IF(
   T_Channel[[#This Row],[Check]]&lt;&gt;"OK",
   "",
   T_Channel[[#This Row],[LogFolder]] &amp; "\" &amp; T_Channel[[#This Row],[LogFile]]
)</f>
        <v/>
      </c>
      <c r="W752" s="20" t="str">
        <f>IF(
   T_Channel[[#This Row],[Safekeeping of logs]]="",
   "",
   VLOOKUP(T_Channel[[#This Row],[Safekeeping of logs]],T_List_LogMode[],2,FALSE)
)</f>
        <v/>
      </c>
      <c r="X752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753" spans="2:24" x14ac:dyDescent="0.45">
      <c r="B753" s="7"/>
      <c r="C753" s="7"/>
      <c r="D753" s="7"/>
      <c r="E753" s="7"/>
      <c r="F753" s="6"/>
      <c r="G753" s="6"/>
      <c r="H753" s="6"/>
      <c r="I753" s="6"/>
      <c r="J753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753" s="21"/>
      <c r="L753" s="7"/>
      <c r="M753" s="41"/>
      <c r="N753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753" s="26" t="str">
        <f>IF(
   T_Channel[[#This Row],[ProviderName]]="",
   "",
   COUNTIF($N$12:$N$9982,T_Channel[[#This Row],[ProviderName]])
)</f>
        <v/>
      </c>
      <c r="P753" s="26" t="str">
        <f>IF(
   T_Channel[[#This Row],[Check]]&lt;&gt;"OK",
   "",
   IF(
      T_Channel[[#This Row],[Query]]="",
      "Empty",
      "Defined"
   )
)</f>
        <v/>
      </c>
      <c r="Q753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753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753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75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753" s="20" t="str">
        <f>IF(
   T_Channel[[#This Row],[Check]]&lt;&gt;"OK",
   "",
   T_Channel[[#This Row],[ChannelSymbol]] &amp; ".evtx"
)</f>
        <v/>
      </c>
      <c r="V753" s="20" t="str">
        <f>IF(
   T_Channel[[#This Row],[Check]]&lt;&gt;"OK",
   "",
   T_Channel[[#This Row],[LogFolder]] &amp; "\" &amp; T_Channel[[#This Row],[LogFile]]
)</f>
        <v/>
      </c>
      <c r="W753" s="20" t="str">
        <f>IF(
   T_Channel[[#This Row],[Safekeeping of logs]]="",
   "",
   VLOOKUP(T_Channel[[#This Row],[Safekeeping of logs]],T_List_LogMode[],2,FALSE)
)</f>
        <v/>
      </c>
      <c r="X753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754" spans="2:24" x14ac:dyDescent="0.45">
      <c r="B754" s="7"/>
      <c r="C754" s="7"/>
      <c r="D754" s="7"/>
      <c r="E754" s="7"/>
      <c r="F754" s="6"/>
      <c r="G754" s="6"/>
      <c r="H754" s="6"/>
      <c r="I754" s="6"/>
      <c r="J754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754" s="21"/>
      <c r="L754" s="7"/>
      <c r="M754" s="41"/>
      <c r="N754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754" s="26" t="str">
        <f>IF(
   T_Channel[[#This Row],[ProviderName]]="",
   "",
   COUNTIF($N$12:$N$9982,T_Channel[[#This Row],[ProviderName]])
)</f>
        <v/>
      </c>
      <c r="P754" s="26" t="str">
        <f>IF(
   T_Channel[[#This Row],[Check]]&lt;&gt;"OK",
   "",
   IF(
      T_Channel[[#This Row],[Query]]="",
      "Empty",
      "Defined"
   )
)</f>
        <v/>
      </c>
      <c r="Q754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754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754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75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754" s="20" t="str">
        <f>IF(
   T_Channel[[#This Row],[Check]]&lt;&gt;"OK",
   "",
   T_Channel[[#This Row],[ChannelSymbol]] &amp; ".evtx"
)</f>
        <v/>
      </c>
      <c r="V754" s="20" t="str">
        <f>IF(
   T_Channel[[#This Row],[Check]]&lt;&gt;"OK",
   "",
   T_Channel[[#This Row],[LogFolder]] &amp; "\" &amp; T_Channel[[#This Row],[LogFile]]
)</f>
        <v/>
      </c>
      <c r="W754" s="20" t="str">
        <f>IF(
   T_Channel[[#This Row],[Safekeeping of logs]]="",
   "",
   VLOOKUP(T_Channel[[#This Row],[Safekeeping of logs]],T_List_LogMode[],2,FALSE)
)</f>
        <v/>
      </c>
      <c r="X754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755" spans="2:24" x14ac:dyDescent="0.45">
      <c r="B755" s="7"/>
      <c r="C755" s="7"/>
      <c r="D755" s="7"/>
      <c r="E755" s="7"/>
      <c r="F755" s="6"/>
      <c r="G755" s="6"/>
      <c r="H755" s="6"/>
      <c r="I755" s="6"/>
      <c r="J755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755" s="21"/>
      <c r="L755" s="7"/>
      <c r="M755" s="41"/>
      <c r="N755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755" s="26" t="str">
        <f>IF(
   T_Channel[[#This Row],[ProviderName]]="",
   "",
   COUNTIF($N$12:$N$9982,T_Channel[[#This Row],[ProviderName]])
)</f>
        <v/>
      </c>
      <c r="P755" s="26" t="str">
        <f>IF(
   T_Channel[[#This Row],[Check]]&lt;&gt;"OK",
   "",
   IF(
      T_Channel[[#This Row],[Query]]="",
      "Empty",
      "Defined"
   )
)</f>
        <v/>
      </c>
      <c r="Q755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755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755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75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755" s="20" t="str">
        <f>IF(
   T_Channel[[#This Row],[Check]]&lt;&gt;"OK",
   "",
   T_Channel[[#This Row],[ChannelSymbol]] &amp; ".evtx"
)</f>
        <v/>
      </c>
      <c r="V755" s="20" t="str">
        <f>IF(
   T_Channel[[#This Row],[Check]]&lt;&gt;"OK",
   "",
   T_Channel[[#This Row],[LogFolder]] &amp; "\" &amp; T_Channel[[#This Row],[LogFile]]
)</f>
        <v/>
      </c>
      <c r="W755" s="20" t="str">
        <f>IF(
   T_Channel[[#This Row],[Safekeeping of logs]]="",
   "",
   VLOOKUP(T_Channel[[#This Row],[Safekeeping of logs]],T_List_LogMode[],2,FALSE)
)</f>
        <v/>
      </c>
      <c r="X755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756" spans="2:24" x14ac:dyDescent="0.45">
      <c r="B756" s="7"/>
      <c r="C756" s="7"/>
      <c r="D756" s="7"/>
      <c r="E756" s="7"/>
      <c r="F756" s="6"/>
      <c r="G756" s="6"/>
      <c r="H756" s="6"/>
      <c r="I756" s="6"/>
      <c r="J756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756" s="21"/>
      <c r="L756" s="7"/>
      <c r="M756" s="41"/>
      <c r="N756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756" s="26" t="str">
        <f>IF(
   T_Channel[[#This Row],[ProviderName]]="",
   "",
   COUNTIF($N$12:$N$9982,T_Channel[[#This Row],[ProviderName]])
)</f>
        <v/>
      </c>
      <c r="P756" s="26" t="str">
        <f>IF(
   T_Channel[[#This Row],[Check]]&lt;&gt;"OK",
   "",
   IF(
      T_Channel[[#This Row],[Query]]="",
      "Empty",
      "Defined"
   )
)</f>
        <v/>
      </c>
      <c r="Q756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756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756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75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756" s="20" t="str">
        <f>IF(
   T_Channel[[#This Row],[Check]]&lt;&gt;"OK",
   "",
   T_Channel[[#This Row],[ChannelSymbol]] &amp; ".evtx"
)</f>
        <v/>
      </c>
      <c r="V756" s="20" t="str">
        <f>IF(
   T_Channel[[#This Row],[Check]]&lt;&gt;"OK",
   "",
   T_Channel[[#This Row],[LogFolder]] &amp; "\" &amp; T_Channel[[#This Row],[LogFile]]
)</f>
        <v/>
      </c>
      <c r="W756" s="20" t="str">
        <f>IF(
   T_Channel[[#This Row],[Safekeeping of logs]]="",
   "",
   VLOOKUP(T_Channel[[#This Row],[Safekeeping of logs]],T_List_LogMode[],2,FALSE)
)</f>
        <v/>
      </c>
      <c r="X756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757" spans="2:24" x14ac:dyDescent="0.45">
      <c r="B757" s="7"/>
      <c r="C757" s="7"/>
      <c r="D757" s="7"/>
      <c r="E757" s="7"/>
      <c r="F757" s="6"/>
      <c r="G757" s="6"/>
      <c r="H757" s="6"/>
      <c r="I757" s="6"/>
      <c r="J757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757" s="21"/>
      <c r="L757" s="7"/>
      <c r="M757" s="41"/>
      <c r="N757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757" s="26" t="str">
        <f>IF(
   T_Channel[[#This Row],[ProviderName]]="",
   "",
   COUNTIF($N$12:$N$9982,T_Channel[[#This Row],[ProviderName]])
)</f>
        <v/>
      </c>
      <c r="P757" s="26" t="str">
        <f>IF(
   T_Channel[[#This Row],[Check]]&lt;&gt;"OK",
   "",
   IF(
      T_Channel[[#This Row],[Query]]="",
      "Empty",
      "Defined"
   )
)</f>
        <v/>
      </c>
      <c r="Q757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757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757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75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757" s="20" t="str">
        <f>IF(
   T_Channel[[#This Row],[Check]]&lt;&gt;"OK",
   "",
   T_Channel[[#This Row],[ChannelSymbol]] &amp; ".evtx"
)</f>
        <v/>
      </c>
      <c r="V757" s="20" t="str">
        <f>IF(
   T_Channel[[#This Row],[Check]]&lt;&gt;"OK",
   "",
   T_Channel[[#This Row],[LogFolder]] &amp; "\" &amp; T_Channel[[#This Row],[LogFile]]
)</f>
        <v/>
      </c>
      <c r="W757" s="20" t="str">
        <f>IF(
   T_Channel[[#This Row],[Safekeeping of logs]]="",
   "",
   VLOOKUP(T_Channel[[#This Row],[Safekeeping of logs]],T_List_LogMode[],2,FALSE)
)</f>
        <v/>
      </c>
      <c r="X757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758" spans="2:24" x14ac:dyDescent="0.45">
      <c r="B758" s="7"/>
      <c r="C758" s="7"/>
      <c r="D758" s="7"/>
      <c r="E758" s="7"/>
      <c r="F758" s="6"/>
      <c r="G758" s="6"/>
      <c r="H758" s="6"/>
      <c r="I758" s="6"/>
      <c r="J758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758" s="21"/>
      <c r="L758" s="7"/>
      <c r="M758" s="41"/>
      <c r="N758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758" s="26" t="str">
        <f>IF(
   T_Channel[[#This Row],[ProviderName]]="",
   "",
   COUNTIF($N$12:$N$9982,T_Channel[[#This Row],[ProviderName]])
)</f>
        <v/>
      </c>
      <c r="P758" s="26" t="str">
        <f>IF(
   T_Channel[[#This Row],[Check]]&lt;&gt;"OK",
   "",
   IF(
      T_Channel[[#This Row],[Query]]="",
      "Empty",
      "Defined"
   )
)</f>
        <v/>
      </c>
      <c r="Q758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758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758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75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758" s="20" t="str">
        <f>IF(
   T_Channel[[#This Row],[Check]]&lt;&gt;"OK",
   "",
   T_Channel[[#This Row],[ChannelSymbol]] &amp; ".evtx"
)</f>
        <v/>
      </c>
      <c r="V758" s="20" t="str">
        <f>IF(
   T_Channel[[#This Row],[Check]]&lt;&gt;"OK",
   "",
   T_Channel[[#This Row],[LogFolder]] &amp; "\" &amp; T_Channel[[#This Row],[LogFile]]
)</f>
        <v/>
      </c>
      <c r="W758" s="20" t="str">
        <f>IF(
   T_Channel[[#This Row],[Safekeeping of logs]]="",
   "",
   VLOOKUP(T_Channel[[#This Row],[Safekeeping of logs]],T_List_LogMode[],2,FALSE)
)</f>
        <v/>
      </c>
      <c r="X758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759" spans="2:24" x14ac:dyDescent="0.45">
      <c r="B759" s="7"/>
      <c r="C759" s="7"/>
      <c r="D759" s="7"/>
      <c r="E759" s="7"/>
      <c r="F759" s="6"/>
      <c r="G759" s="6"/>
      <c r="H759" s="6"/>
      <c r="I759" s="6"/>
      <c r="J759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759" s="21"/>
      <c r="L759" s="7"/>
      <c r="M759" s="41"/>
      <c r="N759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759" s="26" t="str">
        <f>IF(
   T_Channel[[#This Row],[ProviderName]]="",
   "",
   COUNTIF($N$12:$N$9982,T_Channel[[#This Row],[ProviderName]])
)</f>
        <v/>
      </c>
      <c r="P759" s="26" t="str">
        <f>IF(
   T_Channel[[#This Row],[Check]]&lt;&gt;"OK",
   "",
   IF(
      T_Channel[[#This Row],[Query]]="",
      "Empty",
      "Defined"
   )
)</f>
        <v/>
      </c>
      <c r="Q759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759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759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75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759" s="20" t="str">
        <f>IF(
   T_Channel[[#This Row],[Check]]&lt;&gt;"OK",
   "",
   T_Channel[[#This Row],[ChannelSymbol]] &amp; ".evtx"
)</f>
        <v/>
      </c>
      <c r="V759" s="20" t="str">
        <f>IF(
   T_Channel[[#This Row],[Check]]&lt;&gt;"OK",
   "",
   T_Channel[[#This Row],[LogFolder]] &amp; "\" &amp; T_Channel[[#This Row],[LogFile]]
)</f>
        <v/>
      </c>
      <c r="W759" s="20" t="str">
        <f>IF(
   T_Channel[[#This Row],[Safekeeping of logs]]="",
   "",
   VLOOKUP(T_Channel[[#This Row],[Safekeeping of logs]],T_List_LogMode[],2,FALSE)
)</f>
        <v/>
      </c>
      <c r="X759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760" spans="2:24" x14ac:dyDescent="0.45">
      <c r="B760" s="7"/>
      <c r="C760" s="7"/>
      <c r="D760" s="7"/>
      <c r="E760" s="7"/>
      <c r="F760" s="6"/>
      <c r="G760" s="6"/>
      <c r="H760" s="6"/>
      <c r="I760" s="6"/>
      <c r="J760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760" s="21"/>
      <c r="L760" s="7"/>
      <c r="M760" s="41"/>
      <c r="N760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760" s="26" t="str">
        <f>IF(
   T_Channel[[#This Row],[ProviderName]]="",
   "",
   COUNTIF($N$12:$N$9982,T_Channel[[#This Row],[ProviderName]])
)</f>
        <v/>
      </c>
      <c r="P760" s="26" t="str">
        <f>IF(
   T_Channel[[#This Row],[Check]]&lt;&gt;"OK",
   "",
   IF(
      T_Channel[[#This Row],[Query]]="",
      "Empty",
      "Defined"
   )
)</f>
        <v/>
      </c>
      <c r="Q760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760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760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76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760" s="20" t="str">
        <f>IF(
   T_Channel[[#This Row],[Check]]&lt;&gt;"OK",
   "",
   T_Channel[[#This Row],[ChannelSymbol]] &amp; ".evtx"
)</f>
        <v/>
      </c>
      <c r="V760" s="20" t="str">
        <f>IF(
   T_Channel[[#This Row],[Check]]&lt;&gt;"OK",
   "",
   T_Channel[[#This Row],[LogFolder]] &amp; "\" &amp; T_Channel[[#This Row],[LogFile]]
)</f>
        <v/>
      </c>
      <c r="W760" s="20" t="str">
        <f>IF(
   T_Channel[[#This Row],[Safekeeping of logs]]="",
   "",
   VLOOKUP(T_Channel[[#This Row],[Safekeeping of logs]],T_List_LogMode[],2,FALSE)
)</f>
        <v/>
      </c>
      <c r="X760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761" spans="2:24" x14ac:dyDescent="0.45">
      <c r="B761" s="7"/>
      <c r="C761" s="7"/>
      <c r="D761" s="7"/>
      <c r="E761" s="7"/>
      <c r="F761" s="6"/>
      <c r="G761" s="6"/>
      <c r="H761" s="6"/>
      <c r="I761" s="6"/>
      <c r="J761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761" s="21"/>
      <c r="L761" s="7"/>
      <c r="M761" s="41"/>
      <c r="N761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761" s="26" t="str">
        <f>IF(
   T_Channel[[#This Row],[ProviderName]]="",
   "",
   COUNTIF($N$12:$N$9982,T_Channel[[#This Row],[ProviderName]])
)</f>
        <v/>
      </c>
      <c r="P761" s="26" t="str">
        <f>IF(
   T_Channel[[#This Row],[Check]]&lt;&gt;"OK",
   "",
   IF(
      T_Channel[[#This Row],[Query]]="",
      "Empty",
      "Defined"
   )
)</f>
        <v/>
      </c>
      <c r="Q761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761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761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76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761" s="20" t="str">
        <f>IF(
   T_Channel[[#This Row],[Check]]&lt;&gt;"OK",
   "",
   T_Channel[[#This Row],[ChannelSymbol]] &amp; ".evtx"
)</f>
        <v/>
      </c>
      <c r="V761" s="20" t="str">
        <f>IF(
   T_Channel[[#This Row],[Check]]&lt;&gt;"OK",
   "",
   T_Channel[[#This Row],[LogFolder]] &amp; "\" &amp; T_Channel[[#This Row],[LogFile]]
)</f>
        <v/>
      </c>
      <c r="W761" s="20" t="str">
        <f>IF(
   T_Channel[[#This Row],[Safekeeping of logs]]="",
   "",
   VLOOKUP(T_Channel[[#This Row],[Safekeeping of logs]],T_List_LogMode[],2,FALSE)
)</f>
        <v/>
      </c>
      <c r="X761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762" spans="2:24" x14ac:dyDescent="0.45">
      <c r="B762" s="7"/>
      <c r="C762" s="7"/>
      <c r="D762" s="7"/>
      <c r="E762" s="7"/>
      <c r="F762" s="6"/>
      <c r="G762" s="6"/>
      <c r="H762" s="6"/>
      <c r="I762" s="6"/>
      <c r="J762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762" s="21"/>
      <c r="L762" s="7"/>
      <c r="M762" s="41"/>
      <c r="N762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762" s="26" t="str">
        <f>IF(
   T_Channel[[#This Row],[ProviderName]]="",
   "",
   COUNTIF($N$12:$N$9982,T_Channel[[#This Row],[ProviderName]])
)</f>
        <v/>
      </c>
      <c r="P762" s="26" t="str">
        <f>IF(
   T_Channel[[#This Row],[Check]]&lt;&gt;"OK",
   "",
   IF(
      T_Channel[[#This Row],[Query]]="",
      "Empty",
      "Defined"
   )
)</f>
        <v/>
      </c>
      <c r="Q762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762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762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76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762" s="20" t="str">
        <f>IF(
   T_Channel[[#This Row],[Check]]&lt;&gt;"OK",
   "",
   T_Channel[[#This Row],[ChannelSymbol]] &amp; ".evtx"
)</f>
        <v/>
      </c>
      <c r="V762" s="20" t="str">
        <f>IF(
   T_Channel[[#This Row],[Check]]&lt;&gt;"OK",
   "",
   T_Channel[[#This Row],[LogFolder]] &amp; "\" &amp; T_Channel[[#This Row],[LogFile]]
)</f>
        <v/>
      </c>
      <c r="W762" s="20" t="str">
        <f>IF(
   T_Channel[[#This Row],[Safekeeping of logs]]="",
   "",
   VLOOKUP(T_Channel[[#This Row],[Safekeeping of logs]],T_List_LogMode[],2,FALSE)
)</f>
        <v/>
      </c>
      <c r="X762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763" spans="2:24" x14ac:dyDescent="0.45">
      <c r="B763" s="7"/>
      <c r="C763" s="7"/>
      <c r="D763" s="7"/>
      <c r="E763" s="7"/>
      <c r="F763" s="6"/>
      <c r="G763" s="6"/>
      <c r="H763" s="6"/>
      <c r="I763" s="6"/>
      <c r="J763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763" s="21"/>
      <c r="L763" s="7"/>
      <c r="M763" s="41"/>
      <c r="N763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763" s="26" t="str">
        <f>IF(
   T_Channel[[#This Row],[ProviderName]]="",
   "",
   COUNTIF($N$12:$N$9982,T_Channel[[#This Row],[ProviderName]])
)</f>
        <v/>
      </c>
      <c r="P763" s="26" t="str">
        <f>IF(
   T_Channel[[#This Row],[Check]]&lt;&gt;"OK",
   "",
   IF(
      T_Channel[[#This Row],[Query]]="",
      "Empty",
      "Defined"
   )
)</f>
        <v/>
      </c>
      <c r="Q763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763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763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76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763" s="20" t="str">
        <f>IF(
   T_Channel[[#This Row],[Check]]&lt;&gt;"OK",
   "",
   T_Channel[[#This Row],[ChannelSymbol]] &amp; ".evtx"
)</f>
        <v/>
      </c>
      <c r="V763" s="20" t="str">
        <f>IF(
   T_Channel[[#This Row],[Check]]&lt;&gt;"OK",
   "",
   T_Channel[[#This Row],[LogFolder]] &amp; "\" &amp; T_Channel[[#This Row],[LogFile]]
)</f>
        <v/>
      </c>
      <c r="W763" s="20" t="str">
        <f>IF(
   T_Channel[[#This Row],[Safekeeping of logs]]="",
   "",
   VLOOKUP(T_Channel[[#This Row],[Safekeeping of logs]],T_List_LogMode[],2,FALSE)
)</f>
        <v/>
      </c>
      <c r="X763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764" spans="2:24" x14ac:dyDescent="0.45">
      <c r="B764" s="7"/>
      <c r="C764" s="7"/>
      <c r="D764" s="7"/>
      <c r="E764" s="7"/>
      <c r="F764" s="6"/>
      <c r="G764" s="6"/>
      <c r="H764" s="6"/>
      <c r="I764" s="6"/>
      <c r="J764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764" s="21"/>
      <c r="L764" s="7"/>
      <c r="M764" s="41"/>
      <c r="N764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764" s="26" t="str">
        <f>IF(
   T_Channel[[#This Row],[ProviderName]]="",
   "",
   COUNTIF($N$12:$N$9982,T_Channel[[#This Row],[ProviderName]])
)</f>
        <v/>
      </c>
      <c r="P764" s="26" t="str">
        <f>IF(
   T_Channel[[#This Row],[Check]]&lt;&gt;"OK",
   "",
   IF(
      T_Channel[[#This Row],[Query]]="",
      "Empty",
      "Defined"
   )
)</f>
        <v/>
      </c>
      <c r="Q764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764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764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76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764" s="20" t="str">
        <f>IF(
   T_Channel[[#This Row],[Check]]&lt;&gt;"OK",
   "",
   T_Channel[[#This Row],[ChannelSymbol]] &amp; ".evtx"
)</f>
        <v/>
      </c>
      <c r="V764" s="20" t="str">
        <f>IF(
   T_Channel[[#This Row],[Check]]&lt;&gt;"OK",
   "",
   T_Channel[[#This Row],[LogFolder]] &amp; "\" &amp; T_Channel[[#This Row],[LogFile]]
)</f>
        <v/>
      </c>
      <c r="W764" s="20" t="str">
        <f>IF(
   T_Channel[[#This Row],[Safekeeping of logs]]="",
   "",
   VLOOKUP(T_Channel[[#This Row],[Safekeeping of logs]],T_List_LogMode[],2,FALSE)
)</f>
        <v/>
      </c>
      <c r="X764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765" spans="2:24" x14ac:dyDescent="0.45">
      <c r="B765" s="7"/>
      <c r="C765" s="7"/>
      <c r="D765" s="7"/>
      <c r="E765" s="7"/>
      <c r="F765" s="6"/>
      <c r="G765" s="6"/>
      <c r="H765" s="6"/>
      <c r="I765" s="6"/>
      <c r="J765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765" s="21"/>
      <c r="L765" s="7"/>
      <c r="M765" s="41"/>
      <c r="N765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765" s="26" t="str">
        <f>IF(
   T_Channel[[#This Row],[ProviderName]]="",
   "",
   COUNTIF($N$12:$N$9982,T_Channel[[#This Row],[ProviderName]])
)</f>
        <v/>
      </c>
      <c r="P765" s="26" t="str">
        <f>IF(
   T_Channel[[#This Row],[Check]]&lt;&gt;"OK",
   "",
   IF(
      T_Channel[[#This Row],[Query]]="",
      "Empty",
      "Defined"
   )
)</f>
        <v/>
      </c>
      <c r="Q765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765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765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76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765" s="20" t="str">
        <f>IF(
   T_Channel[[#This Row],[Check]]&lt;&gt;"OK",
   "",
   T_Channel[[#This Row],[ChannelSymbol]] &amp; ".evtx"
)</f>
        <v/>
      </c>
      <c r="V765" s="20" t="str">
        <f>IF(
   T_Channel[[#This Row],[Check]]&lt;&gt;"OK",
   "",
   T_Channel[[#This Row],[LogFolder]] &amp; "\" &amp; T_Channel[[#This Row],[LogFile]]
)</f>
        <v/>
      </c>
      <c r="W765" s="20" t="str">
        <f>IF(
   T_Channel[[#This Row],[Safekeeping of logs]]="",
   "",
   VLOOKUP(T_Channel[[#This Row],[Safekeeping of logs]],T_List_LogMode[],2,FALSE)
)</f>
        <v/>
      </c>
      <c r="X765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766" spans="2:24" x14ac:dyDescent="0.45">
      <c r="B766" s="7"/>
      <c r="C766" s="7"/>
      <c r="D766" s="7"/>
      <c r="E766" s="7"/>
      <c r="F766" s="6"/>
      <c r="G766" s="6"/>
      <c r="H766" s="6"/>
      <c r="I766" s="6"/>
      <c r="J766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766" s="21"/>
      <c r="L766" s="7"/>
      <c r="M766" s="41"/>
      <c r="N766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766" s="26" t="str">
        <f>IF(
   T_Channel[[#This Row],[ProviderName]]="",
   "",
   COUNTIF($N$12:$N$9982,T_Channel[[#This Row],[ProviderName]])
)</f>
        <v/>
      </c>
      <c r="P766" s="26" t="str">
        <f>IF(
   T_Channel[[#This Row],[Check]]&lt;&gt;"OK",
   "",
   IF(
      T_Channel[[#This Row],[Query]]="",
      "Empty",
      "Defined"
   )
)</f>
        <v/>
      </c>
      <c r="Q766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766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766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76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766" s="20" t="str">
        <f>IF(
   T_Channel[[#This Row],[Check]]&lt;&gt;"OK",
   "",
   T_Channel[[#This Row],[ChannelSymbol]] &amp; ".evtx"
)</f>
        <v/>
      </c>
      <c r="V766" s="20" t="str">
        <f>IF(
   T_Channel[[#This Row],[Check]]&lt;&gt;"OK",
   "",
   T_Channel[[#This Row],[LogFolder]] &amp; "\" &amp; T_Channel[[#This Row],[LogFile]]
)</f>
        <v/>
      </c>
      <c r="W766" s="20" t="str">
        <f>IF(
   T_Channel[[#This Row],[Safekeeping of logs]]="",
   "",
   VLOOKUP(T_Channel[[#This Row],[Safekeeping of logs]],T_List_LogMode[],2,FALSE)
)</f>
        <v/>
      </c>
      <c r="X766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767" spans="2:24" x14ac:dyDescent="0.45">
      <c r="B767" s="7"/>
      <c r="C767" s="7"/>
      <c r="D767" s="7"/>
      <c r="E767" s="7"/>
      <c r="F767" s="6"/>
      <c r="G767" s="6"/>
      <c r="H767" s="6"/>
      <c r="I767" s="6"/>
      <c r="J767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767" s="21"/>
      <c r="L767" s="7"/>
      <c r="M767" s="41"/>
      <c r="N767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767" s="26" t="str">
        <f>IF(
   T_Channel[[#This Row],[ProviderName]]="",
   "",
   COUNTIF($N$12:$N$9982,T_Channel[[#This Row],[ProviderName]])
)</f>
        <v/>
      </c>
      <c r="P767" s="26" t="str">
        <f>IF(
   T_Channel[[#This Row],[Check]]&lt;&gt;"OK",
   "",
   IF(
      T_Channel[[#This Row],[Query]]="",
      "Empty",
      "Defined"
   )
)</f>
        <v/>
      </c>
      <c r="Q767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767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767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76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767" s="20" t="str">
        <f>IF(
   T_Channel[[#This Row],[Check]]&lt;&gt;"OK",
   "",
   T_Channel[[#This Row],[ChannelSymbol]] &amp; ".evtx"
)</f>
        <v/>
      </c>
      <c r="V767" s="20" t="str">
        <f>IF(
   T_Channel[[#This Row],[Check]]&lt;&gt;"OK",
   "",
   T_Channel[[#This Row],[LogFolder]] &amp; "\" &amp; T_Channel[[#This Row],[LogFile]]
)</f>
        <v/>
      </c>
      <c r="W767" s="20" t="str">
        <f>IF(
   T_Channel[[#This Row],[Safekeeping of logs]]="",
   "",
   VLOOKUP(T_Channel[[#This Row],[Safekeeping of logs]],T_List_LogMode[],2,FALSE)
)</f>
        <v/>
      </c>
      <c r="X767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768" spans="2:24" x14ac:dyDescent="0.45">
      <c r="B768" s="7"/>
      <c r="C768" s="7"/>
      <c r="D768" s="7"/>
      <c r="E768" s="7"/>
      <c r="F768" s="6"/>
      <c r="G768" s="6"/>
      <c r="H768" s="6"/>
      <c r="I768" s="6"/>
      <c r="J768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768" s="21"/>
      <c r="L768" s="7"/>
      <c r="M768" s="41"/>
      <c r="N768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768" s="26" t="str">
        <f>IF(
   T_Channel[[#This Row],[ProviderName]]="",
   "",
   COUNTIF($N$12:$N$9982,T_Channel[[#This Row],[ProviderName]])
)</f>
        <v/>
      </c>
      <c r="P768" s="26" t="str">
        <f>IF(
   T_Channel[[#This Row],[Check]]&lt;&gt;"OK",
   "",
   IF(
      T_Channel[[#This Row],[Query]]="",
      "Empty",
      "Defined"
   )
)</f>
        <v/>
      </c>
      <c r="Q768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768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768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76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768" s="20" t="str">
        <f>IF(
   T_Channel[[#This Row],[Check]]&lt;&gt;"OK",
   "",
   T_Channel[[#This Row],[ChannelSymbol]] &amp; ".evtx"
)</f>
        <v/>
      </c>
      <c r="V768" s="20" t="str">
        <f>IF(
   T_Channel[[#This Row],[Check]]&lt;&gt;"OK",
   "",
   T_Channel[[#This Row],[LogFolder]] &amp; "\" &amp; T_Channel[[#This Row],[LogFile]]
)</f>
        <v/>
      </c>
      <c r="W768" s="20" t="str">
        <f>IF(
   T_Channel[[#This Row],[Safekeeping of logs]]="",
   "",
   VLOOKUP(T_Channel[[#This Row],[Safekeeping of logs]],T_List_LogMode[],2,FALSE)
)</f>
        <v/>
      </c>
      <c r="X768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769" spans="2:24" x14ac:dyDescent="0.45">
      <c r="B769" s="7"/>
      <c r="C769" s="7"/>
      <c r="D769" s="7"/>
      <c r="E769" s="7"/>
      <c r="F769" s="6"/>
      <c r="G769" s="6"/>
      <c r="H769" s="6"/>
      <c r="I769" s="6"/>
      <c r="J769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769" s="21"/>
      <c r="L769" s="7"/>
      <c r="M769" s="41"/>
      <c r="N769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769" s="26" t="str">
        <f>IF(
   T_Channel[[#This Row],[ProviderName]]="",
   "",
   COUNTIF($N$12:$N$9982,T_Channel[[#This Row],[ProviderName]])
)</f>
        <v/>
      </c>
      <c r="P769" s="26" t="str">
        <f>IF(
   T_Channel[[#This Row],[Check]]&lt;&gt;"OK",
   "",
   IF(
      T_Channel[[#This Row],[Query]]="",
      "Empty",
      "Defined"
   )
)</f>
        <v/>
      </c>
      <c r="Q769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769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769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76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769" s="20" t="str">
        <f>IF(
   T_Channel[[#This Row],[Check]]&lt;&gt;"OK",
   "",
   T_Channel[[#This Row],[ChannelSymbol]] &amp; ".evtx"
)</f>
        <v/>
      </c>
      <c r="V769" s="20" t="str">
        <f>IF(
   T_Channel[[#This Row],[Check]]&lt;&gt;"OK",
   "",
   T_Channel[[#This Row],[LogFolder]] &amp; "\" &amp; T_Channel[[#This Row],[LogFile]]
)</f>
        <v/>
      </c>
      <c r="W769" s="20" t="str">
        <f>IF(
   T_Channel[[#This Row],[Safekeeping of logs]]="",
   "",
   VLOOKUP(T_Channel[[#This Row],[Safekeeping of logs]],T_List_LogMode[],2,FALSE)
)</f>
        <v/>
      </c>
      <c r="X769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770" spans="2:24" x14ac:dyDescent="0.45">
      <c r="B770" s="7"/>
      <c r="C770" s="7"/>
      <c r="D770" s="7"/>
      <c r="E770" s="7"/>
      <c r="F770" s="6"/>
      <c r="G770" s="6"/>
      <c r="H770" s="6"/>
      <c r="I770" s="6"/>
      <c r="J770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770" s="21"/>
      <c r="L770" s="7"/>
      <c r="M770" s="41"/>
      <c r="N770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770" s="26" t="str">
        <f>IF(
   T_Channel[[#This Row],[ProviderName]]="",
   "",
   COUNTIF($N$12:$N$9982,T_Channel[[#This Row],[ProviderName]])
)</f>
        <v/>
      </c>
      <c r="P770" s="26" t="str">
        <f>IF(
   T_Channel[[#This Row],[Check]]&lt;&gt;"OK",
   "",
   IF(
      T_Channel[[#This Row],[Query]]="",
      "Empty",
      "Defined"
   )
)</f>
        <v/>
      </c>
      <c r="Q770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770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770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77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770" s="20" t="str">
        <f>IF(
   T_Channel[[#This Row],[Check]]&lt;&gt;"OK",
   "",
   T_Channel[[#This Row],[ChannelSymbol]] &amp; ".evtx"
)</f>
        <v/>
      </c>
      <c r="V770" s="20" t="str">
        <f>IF(
   T_Channel[[#This Row],[Check]]&lt;&gt;"OK",
   "",
   T_Channel[[#This Row],[LogFolder]] &amp; "\" &amp; T_Channel[[#This Row],[LogFile]]
)</f>
        <v/>
      </c>
      <c r="W770" s="20" t="str">
        <f>IF(
   T_Channel[[#This Row],[Safekeeping of logs]]="",
   "",
   VLOOKUP(T_Channel[[#This Row],[Safekeeping of logs]],T_List_LogMode[],2,FALSE)
)</f>
        <v/>
      </c>
      <c r="X770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771" spans="2:24" x14ac:dyDescent="0.45">
      <c r="B771" s="7"/>
      <c r="C771" s="7"/>
      <c r="D771" s="7"/>
      <c r="E771" s="7"/>
      <c r="F771" s="6"/>
      <c r="G771" s="6"/>
      <c r="H771" s="6"/>
      <c r="I771" s="6"/>
      <c r="J771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771" s="21"/>
      <c r="L771" s="7"/>
      <c r="M771" s="41"/>
      <c r="N771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771" s="26" t="str">
        <f>IF(
   T_Channel[[#This Row],[ProviderName]]="",
   "",
   COUNTIF($N$12:$N$9982,T_Channel[[#This Row],[ProviderName]])
)</f>
        <v/>
      </c>
      <c r="P771" s="26" t="str">
        <f>IF(
   T_Channel[[#This Row],[Check]]&lt;&gt;"OK",
   "",
   IF(
      T_Channel[[#This Row],[Query]]="",
      "Empty",
      "Defined"
   )
)</f>
        <v/>
      </c>
      <c r="Q771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771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771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77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771" s="20" t="str">
        <f>IF(
   T_Channel[[#This Row],[Check]]&lt;&gt;"OK",
   "",
   T_Channel[[#This Row],[ChannelSymbol]] &amp; ".evtx"
)</f>
        <v/>
      </c>
      <c r="V771" s="20" t="str">
        <f>IF(
   T_Channel[[#This Row],[Check]]&lt;&gt;"OK",
   "",
   T_Channel[[#This Row],[LogFolder]] &amp; "\" &amp; T_Channel[[#This Row],[LogFile]]
)</f>
        <v/>
      </c>
      <c r="W771" s="20" t="str">
        <f>IF(
   T_Channel[[#This Row],[Safekeeping of logs]]="",
   "",
   VLOOKUP(T_Channel[[#This Row],[Safekeeping of logs]],T_List_LogMode[],2,FALSE)
)</f>
        <v/>
      </c>
      <c r="X771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772" spans="2:24" x14ac:dyDescent="0.45">
      <c r="B772" s="7"/>
      <c r="C772" s="7"/>
      <c r="D772" s="7"/>
      <c r="E772" s="7"/>
      <c r="F772" s="6"/>
      <c r="G772" s="6"/>
      <c r="H772" s="6"/>
      <c r="I772" s="6"/>
      <c r="J772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772" s="21"/>
      <c r="L772" s="7"/>
      <c r="M772" s="41"/>
      <c r="N772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772" s="26" t="str">
        <f>IF(
   T_Channel[[#This Row],[ProviderName]]="",
   "",
   COUNTIF($N$12:$N$9982,T_Channel[[#This Row],[ProviderName]])
)</f>
        <v/>
      </c>
      <c r="P772" s="26" t="str">
        <f>IF(
   T_Channel[[#This Row],[Check]]&lt;&gt;"OK",
   "",
   IF(
      T_Channel[[#This Row],[Query]]="",
      "Empty",
      "Defined"
   )
)</f>
        <v/>
      </c>
      <c r="Q772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772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772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77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772" s="20" t="str">
        <f>IF(
   T_Channel[[#This Row],[Check]]&lt;&gt;"OK",
   "",
   T_Channel[[#This Row],[ChannelSymbol]] &amp; ".evtx"
)</f>
        <v/>
      </c>
      <c r="V772" s="20" t="str">
        <f>IF(
   T_Channel[[#This Row],[Check]]&lt;&gt;"OK",
   "",
   T_Channel[[#This Row],[LogFolder]] &amp; "\" &amp; T_Channel[[#This Row],[LogFile]]
)</f>
        <v/>
      </c>
      <c r="W772" s="20" t="str">
        <f>IF(
   T_Channel[[#This Row],[Safekeeping of logs]]="",
   "",
   VLOOKUP(T_Channel[[#This Row],[Safekeeping of logs]],T_List_LogMode[],2,FALSE)
)</f>
        <v/>
      </c>
      <c r="X772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773" spans="2:24" x14ac:dyDescent="0.45">
      <c r="B773" s="7"/>
      <c r="C773" s="7"/>
      <c r="D773" s="7"/>
      <c r="E773" s="7"/>
      <c r="F773" s="6"/>
      <c r="G773" s="6"/>
      <c r="H773" s="6"/>
      <c r="I773" s="6"/>
      <c r="J773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773" s="21"/>
      <c r="L773" s="7"/>
      <c r="M773" s="41"/>
      <c r="N773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773" s="26" t="str">
        <f>IF(
   T_Channel[[#This Row],[ProviderName]]="",
   "",
   COUNTIF($N$12:$N$9982,T_Channel[[#This Row],[ProviderName]])
)</f>
        <v/>
      </c>
      <c r="P773" s="26" t="str">
        <f>IF(
   T_Channel[[#This Row],[Check]]&lt;&gt;"OK",
   "",
   IF(
      T_Channel[[#This Row],[Query]]="",
      "Empty",
      "Defined"
   )
)</f>
        <v/>
      </c>
      <c r="Q773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773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773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77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773" s="20" t="str">
        <f>IF(
   T_Channel[[#This Row],[Check]]&lt;&gt;"OK",
   "",
   T_Channel[[#This Row],[ChannelSymbol]] &amp; ".evtx"
)</f>
        <v/>
      </c>
      <c r="V773" s="20" t="str">
        <f>IF(
   T_Channel[[#This Row],[Check]]&lt;&gt;"OK",
   "",
   T_Channel[[#This Row],[LogFolder]] &amp; "\" &amp; T_Channel[[#This Row],[LogFile]]
)</f>
        <v/>
      </c>
      <c r="W773" s="20" t="str">
        <f>IF(
   T_Channel[[#This Row],[Safekeeping of logs]]="",
   "",
   VLOOKUP(T_Channel[[#This Row],[Safekeeping of logs]],T_List_LogMode[],2,FALSE)
)</f>
        <v/>
      </c>
      <c r="X773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774" spans="2:24" x14ac:dyDescent="0.45">
      <c r="B774" s="7"/>
      <c r="C774" s="7"/>
      <c r="D774" s="7"/>
      <c r="E774" s="7"/>
      <c r="F774" s="6"/>
      <c r="G774" s="6"/>
      <c r="H774" s="6"/>
      <c r="I774" s="6"/>
      <c r="J774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774" s="21"/>
      <c r="L774" s="7"/>
      <c r="M774" s="41"/>
      <c r="N774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774" s="26" t="str">
        <f>IF(
   T_Channel[[#This Row],[ProviderName]]="",
   "",
   COUNTIF($N$12:$N$9982,T_Channel[[#This Row],[ProviderName]])
)</f>
        <v/>
      </c>
      <c r="P774" s="26" t="str">
        <f>IF(
   T_Channel[[#This Row],[Check]]&lt;&gt;"OK",
   "",
   IF(
      T_Channel[[#This Row],[Query]]="",
      "Empty",
      "Defined"
   )
)</f>
        <v/>
      </c>
      <c r="Q774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774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774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77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774" s="20" t="str">
        <f>IF(
   T_Channel[[#This Row],[Check]]&lt;&gt;"OK",
   "",
   T_Channel[[#This Row],[ChannelSymbol]] &amp; ".evtx"
)</f>
        <v/>
      </c>
      <c r="V774" s="20" t="str">
        <f>IF(
   T_Channel[[#This Row],[Check]]&lt;&gt;"OK",
   "",
   T_Channel[[#This Row],[LogFolder]] &amp; "\" &amp; T_Channel[[#This Row],[LogFile]]
)</f>
        <v/>
      </c>
      <c r="W774" s="20" t="str">
        <f>IF(
   T_Channel[[#This Row],[Safekeeping of logs]]="",
   "",
   VLOOKUP(T_Channel[[#This Row],[Safekeeping of logs]],T_List_LogMode[],2,FALSE)
)</f>
        <v/>
      </c>
      <c r="X774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775" spans="2:24" x14ac:dyDescent="0.45">
      <c r="B775" s="7"/>
      <c r="C775" s="7"/>
      <c r="D775" s="7"/>
      <c r="E775" s="7"/>
      <c r="F775" s="6"/>
      <c r="G775" s="6"/>
      <c r="H775" s="6"/>
      <c r="I775" s="6"/>
      <c r="J775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775" s="21"/>
      <c r="L775" s="7"/>
      <c r="M775" s="41"/>
      <c r="N775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775" s="26" t="str">
        <f>IF(
   T_Channel[[#This Row],[ProviderName]]="",
   "",
   COUNTIF($N$12:$N$9982,T_Channel[[#This Row],[ProviderName]])
)</f>
        <v/>
      </c>
      <c r="P775" s="26" t="str">
        <f>IF(
   T_Channel[[#This Row],[Check]]&lt;&gt;"OK",
   "",
   IF(
      T_Channel[[#This Row],[Query]]="",
      "Empty",
      "Defined"
   )
)</f>
        <v/>
      </c>
      <c r="Q775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775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775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77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775" s="20" t="str">
        <f>IF(
   T_Channel[[#This Row],[Check]]&lt;&gt;"OK",
   "",
   T_Channel[[#This Row],[ChannelSymbol]] &amp; ".evtx"
)</f>
        <v/>
      </c>
      <c r="V775" s="20" t="str">
        <f>IF(
   T_Channel[[#This Row],[Check]]&lt;&gt;"OK",
   "",
   T_Channel[[#This Row],[LogFolder]] &amp; "\" &amp; T_Channel[[#This Row],[LogFile]]
)</f>
        <v/>
      </c>
      <c r="W775" s="20" t="str">
        <f>IF(
   T_Channel[[#This Row],[Safekeeping of logs]]="",
   "",
   VLOOKUP(T_Channel[[#This Row],[Safekeeping of logs]],T_List_LogMode[],2,FALSE)
)</f>
        <v/>
      </c>
      <c r="X775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776" spans="2:24" x14ac:dyDescent="0.45">
      <c r="B776" s="7"/>
      <c r="C776" s="7"/>
      <c r="D776" s="7"/>
      <c r="E776" s="7"/>
      <c r="F776" s="6"/>
      <c r="G776" s="6"/>
      <c r="H776" s="6"/>
      <c r="I776" s="6"/>
      <c r="J776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776" s="21"/>
      <c r="L776" s="7"/>
      <c r="M776" s="41"/>
      <c r="N776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776" s="26" t="str">
        <f>IF(
   T_Channel[[#This Row],[ProviderName]]="",
   "",
   COUNTIF($N$12:$N$9982,T_Channel[[#This Row],[ProviderName]])
)</f>
        <v/>
      </c>
      <c r="P776" s="26" t="str">
        <f>IF(
   T_Channel[[#This Row],[Check]]&lt;&gt;"OK",
   "",
   IF(
      T_Channel[[#This Row],[Query]]="",
      "Empty",
      "Defined"
   )
)</f>
        <v/>
      </c>
      <c r="Q776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776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776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77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776" s="20" t="str">
        <f>IF(
   T_Channel[[#This Row],[Check]]&lt;&gt;"OK",
   "",
   T_Channel[[#This Row],[ChannelSymbol]] &amp; ".evtx"
)</f>
        <v/>
      </c>
      <c r="V776" s="20" t="str">
        <f>IF(
   T_Channel[[#This Row],[Check]]&lt;&gt;"OK",
   "",
   T_Channel[[#This Row],[LogFolder]] &amp; "\" &amp; T_Channel[[#This Row],[LogFile]]
)</f>
        <v/>
      </c>
      <c r="W776" s="20" t="str">
        <f>IF(
   T_Channel[[#This Row],[Safekeeping of logs]]="",
   "",
   VLOOKUP(T_Channel[[#This Row],[Safekeeping of logs]],T_List_LogMode[],2,FALSE)
)</f>
        <v/>
      </c>
      <c r="X776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777" spans="2:24" x14ac:dyDescent="0.45">
      <c r="B777" s="7"/>
      <c r="C777" s="7"/>
      <c r="D777" s="7"/>
      <c r="E777" s="7"/>
      <c r="F777" s="6"/>
      <c r="G777" s="6"/>
      <c r="H777" s="6"/>
      <c r="I777" s="6"/>
      <c r="J777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777" s="21"/>
      <c r="L777" s="7"/>
      <c r="M777" s="41"/>
      <c r="N777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777" s="26" t="str">
        <f>IF(
   T_Channel[[#This Row],[ProviderName]]="",
   "",
   COUNTIF($N$12:$N$9982,T_Channel[[#This Row],[ProviderName]])
)</f>
        <v/>
      </c>
      <c r="P777" s="26" t="str">
        <f>IF(
   T_Channel[[#This Row],[Check]]&lt;&gt;"OK",
   "",
   IF(
      T_Channel[[#This Row],[Query]]="",
      "Empty",
      "Defined"
   )
)</f>
        <v/>
      </c>
      <c r="Q777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777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777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77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777" s="20" t="str">
        <f>IF(
   T_Channel[[#This Row],[Check]]&lt;&gt;"OK",
   "",
   T_Channel[[#This Row],[ChannelSymbol]] &amp; ".evtx"
)</f>
        <v/>
      </c>
      <c r="V777" s="20" t="str">
        <f>IF(
   T_Channel[[#This Row],[Check]]&lt;&gt;"OK",
   "",
   T_Channel[[#This Row],[LogFolder]] &amp; "\" &amp; T_Channel[[#This Row],[LogFile]]
)</f>
        <v/>
      </c>
      <c r="W777" s="20" t="str">
        <f>IF(
   T_Channel[[#This Row],[Safekeeping of logs]]="",
   "",
   VLOOKUP(T_Channel[[#This Row],[Safekeeping of logs]],T_List_LogMode[],2,FALSE)
)</f>
        <v/>
      </c>
      <c r="X777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778" spans="2:24" x14ac:dyDescent="0.45">
      <c r="B778" s="7"/>
      <c r="C778" s="7"/>
      <c r="D778" s="7"/>
      <c r="E778" s="7"/>
      <c r="F778" s="6"/>
      <c r="G778" s="6"/>
      <c r="H778" s="6"/>
      <c r="I778" s="6"/>
      <c r="J778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778" s="21"/>
      <c r="L778" s="7"/>
      <c r="M778" s="41"/>
      <c r="N778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778" s="26" t="str">
        <f>IF(
   T_Channel[[#This Row],[ProviderName]]="",
   "",
   COUNTIF($N$12:$N$9982,T_Channel[[#This Row],[ProviderName]])
)</f>
        <v/>
      </c>
      <c r="P778" s="26" t="str">
        <f>IF(
   T_Channel[[#This Row],[Check]]&lt;&gt;"OK",
   "",
   IF(
      T_Channel[[#This Row],[Query]]="",
      "Empty",
      "Defined"
   )
)</f>
        <v/>
      </c>
      <c r="Q778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778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778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77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778" s="20" t="str">
        <f>IF(
   T_Channel[[#This Row],[Check]]&lt;&gt;"OK",
   "",
   T_Channel[[#This Row],[ChannelSymbol]] &amp; ".evtx"
)</f>
        <v/>
      </c>
      <c r="V778" s="20" t="str">
        <f>IF(
   T_Channel[[#This Row],[Check]]&lt;&gt;"OK",
   "",
   T_Channel[[#This Row],[LogFolder]] &amp; "\" &amp; T_Channel[[#This Row],[LogFile]]
)</f>
        <v/>
      </c>
      <c r="W778" s="20" t="str">
        <f>IF(
   T_Channel[[#This Row],[Safekeeping of logs]]="",
   "",
   VLOOKUP(T_Channel[[#This Row],[Safekeeping of logs]],T_List_LogMode[],2,FALSE)
)</f>
        <v/>
      </c>
      <c r="X778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779" spans="2:24" x14ac:dyDescent="0.45">
      <c r="B779" s="7"/>
      <c r="C779" s="7"/>
      <c r="D779" s="7"/>
      <c r="E779" s="7"/>
      <c r="F779" s="6"/>
      <c r="G779" s="6"/>
      <c r="H779" s="6"/>
      <c r="I779" s="6"/>
      <c r="J779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779" s="21"/>
      <c r="L779" s="7"/>
      <c r="M779" s="41"/>
      <c r="N779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779" s="26" t="str">
        <f>IF(
   T_Channel[[#This Row],[ProviderName]]="",
   "",
   COUNTIF($N$12:$N$9982,T_Channel[[#This Row],[ProviderName]])
)</f>
        <v/>
      </c>
      <c r="P779" s="26" t="str">
        <f>IF(
   T_Channel[[#This Row],[Check]]&lt;&gt;"OK",
   "",
   IF(
      T_Channel[[#This Row],[Query]]="",
      "Empty",
      "Defined"
   )
)</f>
        <v/>
      </c>
      <c r="Q779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779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779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77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779" s="20" t="str">
        <f>IF(
   T_Channel[[#This Row],[Check]]&lt;&gt;"OK",
   "",
   T_Channel[[#This Row],[ChannelSymbol]] &amp; ".evtx"
)</f>
        <v/>
      </c>
      <c r="V779" s="20" t="str">
        <f>IF(
   T_Channel[[#This Row],[Check]]&lt;&gt;"OK",
   "",
   T_Channel[[#This Row],[LogFolder]] &amp; "\" &amp; T_Channel[[#This Row],[LogFile]]
)</f>
        <v/>
      </c>
      <c r="W779" s="20" t="str">
        <f>IF(
   T_Channel[[#This Row],[Safekeeping of logs]]="",
   "",
   VLOOKUP(T_Channel[[#This Row],[Safekeeping of logs]],T_List_LogMode[],2,FALSE)
)</f>
        <v/>
      </c>
      <c r="X779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780" spans="2:24" x14ac:dyDescent="0.45">
      <c r="B780" s="7"/>
      <c r="C780" s="7"/>
      <c r="D780" s="7"/>
      <c r="E780" s="7"/>
      <c r="F780" s="6"/>
      <c r="G780" s="6"/>
      <c r="H780" s="6"/>
      <c r="I780" s="6"/>
      <c r="J780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780" s="21"/>
      <c r="L780" s="7"/>
      <c r="M780" s="41"/>
      <c r="N780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780" s="26" t="str">
        <f>IF(
   T_Channel[[#This Row],[ProviderName]]="",
   "",
   COUNTIF($N$12:$N$9982,T_Channel[[#This Row],[ProviderName]])
)</f>
        <v/>
      </c>
      <c r="P780" s="26" t="str">
        <f>IF(
   T_Channel[[#This Row],[Check]]&lt;&gt;"OK",
   "",
   IF(
      T_Channel[[#This Row],[Query]]="",
      "Empty",
      "Defined"
   )
)</f>
        <v/>
      </c>
      <c r="Q780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780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780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78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780" s="20" t="str">
        <f>IF(
   T_Channel[[#This Row],[Check]]&lt;&gt;"OK",
   "",
   T_Channel[[#This Row],[ChannelSymbol]] &amp; ".evtx"
)</f>
        <v/>
      </c>
      <c r="V780" s="20" t="str">
        <f>IF(
   T_Channel[[#This Row],[Check]]&lt;&gt;"OK",
   "",
   T_Channel[[#This Row],[LogFolder]] &amp; "\" &amp; T_Channel[[#This Row],[LogFile]]
)</f>
        <v/>
      </c>
      <c r="W780" s="20" t="str">
        <f>IF(
   T_Channel[[#This Row],[Safekeeping of logs]]="",
   "",
   VLOOKUP(T_Channel[[#This Row],[Safekeeping of logs]],T_List_LogMode[],2,FALSE)
)</f>
        <v/>
      </c>
      <c r="X780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781" spans="2:24" x14ac:dyDescent="0.45">
      <c r="B781" s="7"/>
      <c r="C781" s="7"/>
      <c r="D781" s="7"/>
      <c r="E781" s="7"/>
      <c r="F781" s="6"/>
      <c r="G781" s="6"/>
      <c r="H781" s="6"/>
      <c r="I781" s="6"/>
      <c r="J781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781" s="21"/>
      <c r="L781" s="7"/>
      <c r="M781" s="41"/>
      <c r="N781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781" s="26" t="str">
        <f>IF(
   T_Channel[[#This Row],[ProviderName]]="",
   "",
   COUNTIF($N$12:$N$9982,T_Channel[[#This Row],[ProviderName]])
)</f>
        <v/>
      </c>
      <c r="P781" s="26" t="str">
        <f>IF(
   T_Channel[[#This Row],[Check]]&lt;&gt;"OK",
   "",
   IF(
      T_Channel[[#This Row],[Query]]="",
      "Empty",
      "Defined"
   )
)</f>
        <v/>
      </c>
      <c r="Q781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781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781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78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781" s="20" t="str">
        <f>IF(
   T_Channel[[#This Row],[Check]]&lt;&gt;"OK",
   "",
   T_Channel[[#This Row],[ChannelSymbol]] &amp; ".evtx"
)</f>
        <v/>
      </c>
      <c r="V781" s="20" t="str">
        <f>IF(
   T_Channel[[#This Row],[Check]]&lt;&gt;"OK",
   "",
   T_Channel[[#This Row],[LogFolder]] &amp; "\" &amp; T_Channel[[#This Row],[LogFile]]
)</f>
        <v/>
      </c>
      <c r="W781" s="20" t="str">
        <f>IF(
   T_Channel[[#This Row],[Safekeeping of logs]]="",
   "",
   VLOOKUP(T_Channel[[#This Row],[Safekeeping of logs]],T_List_LogMode[],2,FALSE)
)</f>
        <v/>
      </c>
      <c r="X781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782" spans="2:24" x14ac:dyDescent="0.45">
      <c r="B782" s="7"/>
      <c r="C782" s="7"/>
      <c r="D782" s="7"/>
      <c r="E782" s="7"/>
      <c r="F782" s="6"/>
      <c r="G782" s="6"/>
      <c r="H782" s="6"/>
      <c r="I782" s="6"/>
      <c r="J782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782" s="21"/>
      <c r="L782" s="7"/>
      <c r="M782" s="41"/>
      <c r="N782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782" s="26" t="str">
        <f>IF(
   T_Channel[[#This Row],[ProviderName]]="",
   "",
   COUNTIF($N$12:$N$9982,T_Channel[[#This Row],[ProviderName]])
)</f>
        <v/>
      </c>
      <c r="P782" s="26" t="str">
        <f>IF(
   T_Channel[[#This Row],[Check]]&lt;&gt;"OK",
   "",
   IF(
      T_Channel[[#This Row],[Query]]="",
      "Empty",
      "Defined"
   )
)</f>
        <v/>
      </c>
      <c r="Q782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782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782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78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782" s="20" t="str">
        <f>IF(
   T_Channel[[#This Row],[Check]]&lt;&gt;"OK",
   "",
   T_Channel[[#This Row],[ChannelSymbol]] &amp; ".evtx"
)</f>
        <v/>
      </c>
      <c r="V782" s="20" t="str">
        <f>IF(
   T_Channel[[#This Row],[Check]]&lt;&gt;"OK",
   "",
   T_Channel[[#This Row],[LogFolder]] &amp; "\" &amp; T_Channel[[#This Row],[LogFile]]
)</f>
        <v/>
      </c>
      <c r="W782" s="20" t="str">
        <f>IF(
   T_Channel[[#This Row],[Safekeeping of logs]]="",
   "",
   VLOOKUP(T_Channel[[#This Row],[Safekeeping of logs]],T_List_LogMode[],2,FALSE)
)</f>
        <v/>
      </c>
      <c r="X782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783" spans="2:24" x14ac:dyDescent="0.45">
      <c r="B783" s="7"/>
      <c r="C783" s="7"/>
      <c r="D783" s="7"/>
      <c r="E783" s="7"/>
      <c r="F783" s="6"/>
      <c r="G783" s="6"/>
      <c r="H783" s="6"/>
      <c r="I783" s="6"/>
      <c r="J783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783" s="21"/>
      <c r="L783" s="7"/>
      <c r="M783" s="41"/>
      <c r="N783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783" s="26" t="str">
        <f>IF(
   T_Channel[[#This Row],[ProviderName]]="",
   "",
   COUNTIF($N$12:$N$9982,T_Channel[[#This Row],[ProviderName]])
)</f>
        <v/>
      </c>
      <c r="P783" s="26" t="str">
        <f>IF(
   T_Channel[[#This Row],[Check]]&lt;&gt;"OK",
   "",
   IF(
      T_Channel[[#This Row],[Query]]="",
      "Empty",
      "Defined"
   )
)</f>
        <v/>
      </c>
      <c r="Q783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783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783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78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783" s="20" t="str">
        <f>IF(
   T_Channel[[#This Row],[Check]]&lt;&gt;"OK",
   "",
   T_Channel[[#This Row],[ChannelSymbol]] &amp; ".evtx"
)</f>
        <v/>
      </c>
      <c r="V783" s="20" t="str">
        <f>IF(
   T_Channel[[#This Row],[Check]]&lt;&gt;"OK",
   "",
   T_Channel[[#This Row],[LogFolder]] &amp; "\" &amp; T_Channel[[#This Row],[LogFile]]
)</f>
        <v/>
      </c>
      <c r="W783" s="20" t="str">
        <f>IF(
   T_Channel[[#This Row],[Safekeeping of logs]]="",
   "",
   VLOOKUP(T_Channel[[#This Row],[Safekeeping of logs]],T_List_LogMode[],2,FALSE)
)</f>
        <v/>
      </c>
      <c r="X783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784" spans="2:24" x14ac:dyDescent="0.45">
      <c r="B784" s="7"/>
      <c r="C784" s="7"/>
      <c r="D784" s="7"/>
      <c r="E784" s="7"/>
      <c r="F784" s="6"/>
      <c r="G784" s="6"/>
      <c r="H784" s="6"/>
      <c r="I784" s="6"/>
      <c r="J784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784" s="21"/>
      <c r="L784" s="7"/>
      <c r="M784" s="41"/>
      <c r="N784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784" s="26" t="str">
        <f>IF(
   T_Channel[[#This Row],[ProviderName]]="",
   "",
   COUNTIF($N$12:$N$9982,T_Channel[[#This Row],[ProviderName]])
)</f>
        <v/>
      </c>
      <c r="P784" s="26" t="str">
        <f>IF(
   T_Channel[[#This Row],[Check]]&lt;&gt;"OK",
   "",
   IF(
      T_Channel[[#This Row],[Query]]="",
      "Empty",
      "Defined"
   )
)</f>
        <v/>
      </c>
      <c r="Q784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784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784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78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784" s="20" t="str">
        <f>IF(
   T_Channel[[#This Row],[Check]]&lt;&gt;"OK",
   "",
   T_Channel[[#This Row],[ChannelSymbol]] &amp; ".evtx"
)</f>
        <v/>
      </c>
      <c r="V784" s="20" t="str">
        <f>IF(
   T_Channel[[#This Row],[Check]]&lt;&gt;"OK",
   "",
   T_Channel[[#This Row],[LogFolder]] &amp; "\" &amp; T_Channel[[#This Row],[LogFile]]
)</f>
        <v/>
      </c>
      <c r="W784" s="20" t="str">
        <f>IF(
   T_Channel[[#This Row],[Safekeeping of logs]]="",
   "",
   VLOOKUP(T_Channel[[#This Row],[Safekeeping of logs]],T_List_LogMode[],2,FALSE)
)</f>
        <v/>
      </c>
      <c r="X784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785" spans="2:24" x14ac:dyDescent="0.45">
      <c r="B785" s="7"/>
      <c r="C785" s="7"/>
      <c r="D785" s="7"/>
      <c r="E785" s="7"/>
      <c r="F785" s="6"/>
      <c r="G785" s="6"/>
      <c r="H785" s="6"/>
      <c r="I785" s="6"/>
      <c r="J785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785" s="21"/>
      <c r="L785" s="7"/>
      <c r="M785" s="41"/>
      <c r="N785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785" s="26" t="str">
        <f>IF(
   T_Channel[[#This Row],[ProviderName]]="",
   "",
   COUNTIF($N$12:$N$9982,T_Channel[[#This Row],[ProviderName]])
)</f>
        <v/>
      </c>
      <c r="P785" s="26" t="str">
        <f>IF(
   T_Channel[[#This Row],[Check]]&lt;&gt;"OK",
   "",
   IF(
      T_Channel[[#This Row],[Query]]="",
      "Empty",
      "Defined"
   )
)</f>
        <v/>
      </c>
      <c r="Q785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785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785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78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785" s="20" t="str">
        <f>IF(
   T_Channel[[#This Row],[Check]]&lt;&gt;"OK",
   "",
   T_Channel[[#This Row],[ChannelSymbol]] &amp; ".evtx"
)</f>
        <v/>
      </c>
      <c r="V785" s="20" t="str">
        <f>IF(
   T_Channel[[#This Row],[Check]]&lt;&gt;"OK",
   "",
   T_Channel[[#This Row],[LogFolder]] &amp; "\" &amp; T_Channel[[#This Row],[LogFile]]
)</f>
        <v/>
      </c>
      <c r="W785" s="20" t="str">
        <f>IF(
   T_Channel[[#This Row],[Safekeeping of logs]]="",
   "",
   VLOOKUP(T_Channel[[#This Row],[Safekeeping of logs]],T_List_LogMode[],2,FALSE)
)</f>
        <v/>
      </c>
      <c r="X785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786" spans="2:24" x14ac:dyDescent="0.45">
      <c r="B786" s="7"/>
      <c r="C786" s="7"/>
      <c r="D786" s="7"/>
      <c r="E786" s="7"/>
      <c r="F786" s="6"/>
      <c r="G786" s="6"/>
      <c r="H786" s="6"/>
      <c r="I786" s="6"/>
      <c r="J786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786" s="21"/>
      <c r="L786" s="7"/>
      <c r="M786" s="41"/>
      <c r="N786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786" s="26" t="str">
        <f>IF(
   T_Channel[[#This Row],[ProviderName]]="",
   "",
   COUNTIF($N$12:$N$9982,T_Channel[[#This Row],[ProviderName]])
)</f>
        <v/>
      </c>
      <c r="P786" s="26" t="str">
        <f>IF(
   T_Channel[[#This Row],[Check]]&lt;&gt;"OK",
   "",
   IF(
      T_Channel[[#This Row],[Query]]="",
      "Empty",
      "Defined"
   )
)</f>
        <v/>
      </c>
      <c r="Q786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786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786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78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786" s="20" t="str">
        <f>IF(
   T_Channel[[#This Row],[Check]]&lt;&gt;"OK",
   "",
   T_Channel[[#This Row],[ChannelSymbol]] &amp; ".evtx"
)</f>
        <v/>
      </c>
      <c r="V786" s="20" t="str">
        <f>IF(
   T_Channel[[#This Row],[Check]]&lt;&gt;"OK",
   "",
   T_Channel[[#This Row],[LogFolder]] &amp; "\" &amp; T_Channel[[#This Row],[LogFile]]
)</f>
        <v/>
      </c>
      <c r="W786" s="20" t="str">
        <f>IF(
   T_Channel[[#This Row],[Safekeeping of logs]]="",
   "",
   VLOOKUP(T_Channel[[#This Row],[Safekeeping of logs]],T_List_LogMode[],2,FALSE)
)</f>
        <v/>
      </c>
      <c r="X786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787" spans="2:24" x14ac:dyDescent="0.45">
      <c r="B787" s="7"/>
      <c r="C787" s="7"/>
      <c r="D787" s="7"/>
      <c r="E787" s="7"/>
      <c r="F787" s="6"/>
      <c r="G787" s="6"/>
      <c r="H787" s="6"/>
      <c r="I787" s="6"/>
      <c r="J787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787" s="21"/>
      <c r="L787" s="7"/>
      <c r="M787" s="41"/>
      <c r="N787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787" s="26" t="str">
        <f>IF(
   T_Channel[[#This Row],[ProviderName]]="",
   "",
   COUNTIF($N$12:$N$9982,T_Channel[[#This Row],[ProviderName]])
)</f>
        <v/>
      </c>
      <c r="P787" s="26" t="str">
        <f>IF(
   T_Channel[[#This Row],[Check]]&lt;&gt;"OK",
   "",
   IF(
      T_Channel[[#This Row],[Query]]="",
      "Empty",
      "Defined"
   )
)</f>
        <v/>
      </c>
      <c r="Q787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787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787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78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787" s="20" t="str">
        <f>IF(
   T_Channel[[#This Row],[Check]]&lt;&gt;"OK",
   "",
   T_Channel[[#This Row],[ChannelSymbol]] &amp; ".evtx"
)</f>
        <v/>
      </c>
      <c r="V787" s="20" t="str">
        <f>IF(
   T_Channel[[#This Row],[Check]]&lt;&gt;"OK",
   "",
   T_Channel[[#This Row],[LogFolder]] &amp; "\" &amp; T_Channel[[#This Row],[LogFile]]
)</f>
        <v/>
      </c>
      <c r="W787" s="20" t="str">
        <f>IF(
   T_Channel[[#This Row],[Safekeeping of logs]]="",
   "",
   VLOOKUP(T_Channel[[#This Row],[Safekeeping of logs]],T_List_LogMode[],2,FALSE)
)</f>
        <v/>
      </c>
      <c r="X787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788" spans="2:24" x14ac:dyDescent="0.45">
      <c r="B788" s="7"/>
      <c r="C788" s="7"/>
      <c r="D788" s="7"/>
      <c r="E788" s="7"/>
      <c r="F788" s="6"/>
      <c r="G788" s="6"/>
      <c r="H788" s="6"/>
      <c r="I788" s="6"/>
      <c r="J788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788" s="21"/>
      <c r="L788" s="7"/>
      <c r="M788" s="41"/>
      <c r="N788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788" s="26" t="str">
        <f>IF(
   T_Channel[[#This Row],[ProviderName]]="",
   "",
   COUNTIF($N$12:$N$9982,T_Channel[[#This Row],[ProviderName]])
)</f>
        <v/>
      </c>
      <c r="P788" s="26" t="str">
        <f>IF(
   T_Channel[[#This Row],[Check]]&lt;&gt;"OK",
   "",
   IF(
      T_Channel[[#This Row],[Query]]="",
      "Empty",
      "Defined"
   )
)</f>
        <v/>
      </c>
      <c r="Q788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788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788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78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788" s="20" t="str">
        <f>IF(
   T_Channel[[#This Row],[Check]]&lt;&gt;"OK",
   "",
   T_Channel[[#This Row],[ChannelSymbol]] &amp; ".evtx"
)</f>
        <v/>
      </c>
      <c r="V788" s="20" t="str">
        <f>IF(
   T_Channel[[#This Row],[Check]]&lt;&gt;"OK",
   "",
   T_Channel[[#This Row],[LogFolder]] &amp; "\" &amp; T_Channel[[#This Row],[LogFile]]
)</f>
        <v/>
      </c>
      <c r="W788" s="20" t="str">
        <f>IF(
   T_Channel[[#This Row],[Safekeeping of logs]]="",
   "",
   VLOOKUP(T_Channel[[#This Row],[Safekeeping of logs]],T_List_LogMode[],2,FALSE)
)</f>
        <v/>
      </c>
      <c r="X788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789" spans="2:24" x14ac:dyDescent="0.45">
      <c r="B789" s="7"/>
      <c r="C789" s="7"/>
      <c r="D789" s="7"/>
      <c r="E789" s="7"/>
      <c r="F789" s="6"/>
      <c r="G789" s="6"/>
      <c r="H789" s="6"/>
      <c r="I789" s="6"/>
      <c r="J789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789" s="21"/>
      <c r="L789" s="7"/>
      <c r="M789" s="41"/>
      <c r="N789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789" s="26" t="str">
        <f>IF(
   T_Channel[[#This Row],[ProviderName]]="",
   "",
   COUNTIF($N$12:$N$9982,T_Channel[[#This Row],[ProviderName]])
)</f>
        <v/>
      </c>
      <c r="P789" s="26" t="str">
        <f>IF(
   T_Channel[[#This Row],[Check]]&lt;&gt;"OK",
   "",
   IF(
      T_Channel[[#This Row],[Query]]="",
      "Empty",
      "Defined"
   )
)</f>
        <v/>
      </c>
      <c r="Q789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789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789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78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789" s="20" t="str">
        <f>IF(
   T_Channel[[#This Row],[Check]]&lt;&gt;"OK",
   "",
   T_Channel[[#This Row],[ChannelSymbol]] &amp; ".evtx"
)</f>
        <v/>
      </c>
      <c r="V789" s="20" t="str">
        <f>IF(
   T_Channel[[#This Row],[Check]]&lt;&gt;"OK",
   "",
   T_Channel[[#This Row],[LogFolder]] &amp; "\" &amp; T_Channel[[#This Row],[LogFile]]
)</f>
        <v/>
      </c>
      <c r="W789" s="20" t="str">
        <f>IF(
   T_Channel[[#This Row],[Safekeeping of logs]]="",
   "",
   VLOOKUP(T_Channel[[#This Row],[Safekeeping of logs]],T_List_LogMode[],2,FALSE)
)</f>
        <v/>
      </c>
      <c r="X789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790" spans="2:24" x14ac:dyDescent="0.45">
      <c r="B790" s="7"/>
      <c r="C790" s="7"/>
      <c r="D790" s="7"/>
      <c r="E790" s="7"/>
      <c r="F790" s="6"/>
      <c r="G790" s="6"/>
      <c r="H790" s="6"/>
      <c r="I790" s="6"/>
      <c r="J790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790" s="21"/>
      <c r="L790" s="7"/>
      <c r="M790" s="41"/>
      <c r="N790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790" s="26" t="str">
        <f>IF(
   T_Channel[[#This Row],[ProviderName]]="",
   "",
   COUNTIF($N$12:$N$9982,T_Channel[[#This Row],[ProviderName]])
)</f>
        <v/>
      </c>
      <c r="P790" s="26" t="str">
        <f>IF(
   T_Channel[[#This Row],[Check]]&lt;&gt;"OK",
   "",
   IF(
      T_Channel[[#This Row],[Query]]="",
      "Empty",
      "Defined"
   )
)</f>
        <v/>
      </c>
      <c r="Q790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790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790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79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790" s="20" t="str">
        <f>IF(
   T_Channel[[#This Row],[Check]]&lt;&gt;"OK",
   "",
   T_Channel[[#This Row],[ChannelSymbol]] &amp; ".evtx"
)</f>
        <v/>
      </c>
      <c r="V790" s="20" t="str">
        <f>IF(
   T_Channel[[#This Row],[Check]]&lt;&gt;"OK",
   "",
   T_Channel[[#This Row],[LogFolder]] &amp; "\" &amp; T_Channel[[#This Row],[LogFile]]
)</f>
        <v/>
      </c>
      <c r="W790" s="20" t="str">
        <f>IF(
   T_Channel[[#This Row],[Safekeeping of logs]]="",
   "",
   VLOOKUP(T_Channel[[#This Row],[Safekeeping of logs]],T_List_LogMode[],2,FALSE)
)</f>
        <v/>
      </c>
      <c r="X790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791" spans="2:24" x14ac:dyDescent="0.45">
      <c r="B791" s="7"/>
      <c r="C791" s="7"/>
      <c r="D791" s="7"/>
      <c r="E791" s="7"/>
      <c r="F791" s="6"/>
      <c r="G791" s="6"/>
      <c r="H791" s="6"/>
      <c r="I791" s="6"/>
      <c r="J791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791" s="21"/>
      <c r="L791" s="7"/>
      <c r="M791" s="41"/>
      <c r="N791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791" s="26" t="str">
        <f>IF(
   T_Channel[[#This Row],[ProviderName]]="",
   "",
   COUNTIF($N$12:$N$9982,T_Channel[[#This Row],[ProviderName]])
)</f>
        <v/>
      </c>
      <c r="P791" s="26" t="str">
        <f>IF(
   T_Channel[[#This Row],[Check]]&lt;&gt;"OK",
   "",
   IF(
      T_Channel[[#This Row],[Query]]="",
      "Empty",
      "Defined"
   )
)</f>
        <v/>
      </c>
      <c r="Q791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791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791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79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791" s="20" t="str">
        <f>IF(
   T_Channel[[#This Row],[Check]]&lt;&gt;"OK",
   "",
   T_Channel[[#This Row],[ChannelSymbol]] &amp; ".evtx"
)</f>
        <v/>
      </c>
      <c r="V791" s="20" t="str">
        <f>IF(
   T_Channel[[#This Row],[Check]]&lt;&gt;"OK",
   "",
   T_Channel[[#This Row],[LogFolder]] &amp; "\" &amp; T_Channel[[#This Row],[LogFile]]
)</f>
        <v/>
      </c>
      <c r="W791" s="20" t="str">
        <f>IF(
   T_Channel[[#This Row],[Safekeeping of logs]]="",
   "",
   VLOOKUP(T_Channel[[#This Row],[Safekeeping of logs]],T_List_LogMode[],2,FALSE)
)</f>
        <v/>
      </c>
      <c r="X791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792" spans="2:24" x14ac:dyDescent="0.45">
      <c r="B792" s="7"/>
      <c r="C792" s="7"/>
      <c r="D792" s="7"/>
      <c r="E792" s="7"/>
      <c r="F792" s="6"/>
      <c r="G792" s="6"/>
      <c r="H792" s="6"/>
      <c r="I792" s="6"/>
      <c r="J792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792" s="21"/>
      <c r="L792" s="7"/>
      <c r="M792" s="41"/>
      <c r="N792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792" s="26" t="str">
        <f>IF(
   T_Channel[[#This Row],[ProviderName]]="",
   "",
   COUNTIF($N$12:$N$9982,T_Channel[[#This Row],[ProviderName]])
)</f>
        <v/>
      </c>
      <c r="P792" s="26" t="str">
        <f>IF(
   T_Channel[[#This Row],[Check]]&lt;&gt;"OK",
   "",
   IF(
      T_Channel[[#This Row],[Query]]="",
      "Empty",
      "Defined"
   )
)</f>
        <v/>
      </c>
      <c r="Q792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792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792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79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792" s="20" t="str">
        <f>IF(
   T_Channel[[#This Row],[Check]]&lt;&gt;"OK",
   "",
   T_Channel[[#This Row],[ChannelSymbol]] &amp; ".evtx"
)</f>
        <v/>
      </c>
      <c r="V792" s="20" t="str">
        <f>IF(
   T_Channel[[#This Row],[Check]]&lt;&gt;"OK",
   "",
   T_Channel[[#This Row],[LogFolder]] &amp; "\" &amp; T_Channel[[#This Row],[LogFile]]
)</f>
        <v/>
      </c>
      <c r="W792" s="20" t="str">
        <f>IF(
   T_Channel[[#This Row],[Safekeeping of logs]]="",
   "",
   VLOOKUP(T_Channel[[#This Row],[Safekeeping of logs]],T_List_LogMode[],2,FALSE)
)</f>
        <v/>
      </c>
      <c r="X792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793" spans="2:24" x14ac:dyDescent="0.45">
      <c r="B793" s="7"/>
      <c r="C793" s="7"/>
      <c r="D793" s="7"/>
      <c r="E793" s="7"/>
      <c r="F793" s="6"/>
      <c r="G793" s="6"/>
      <c r="H793" s="6"/>
      <c r="I793" s="6"/>
      <c r="J793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793" s="21"/>
      <c r="L793" s="7"/>
      <c r="M793" s="41"/>
      <c r="N793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793" s="26" t="str">
        <f>IF(
   T_Channel[[#This Row],[ProviderName]]="",
   "",
   COUNTIF($N$12:$N$9982,T_Channel[[#This Row],[ProviderName]])
)</f>
        <v/>
      </c>
      <c r="P793" s="26" t="str">
        <f>IF(
   T_Channel[[#This Row],[Check]]&lt;&gt;"OK",
   "",
   IF(
      T_Channel[[#This Row],[Query]]="",
      "Empty",
      "Defined"
   )
)</f>
        <v/>
      </c>
      <c r="Q793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793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793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79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793" s="20" t="str">
        <f>IF(
   T_Channel[[#This Row],[Check]]&lt;&gt;"OK",
   "",
   T_Channel[[#This Row],[ChannelSymbol]] &amp; ".evtx"
)</f>
        <v/>
      </c>
      <c r="V793" s="20" t="str">
        <f>IF(
   T_Channel[[#This Row],[Check]]&lt;&gt;"OK",
   "",
   T_Channel[[#This Row],[LogFolder]] &amp; "\" &amp; T_Channel[[#This Row],[LogFile]]
)</f>
        <v/>
      </c>
      <c r="W793" s="20" t="str">
        <f>IF(
   T_Channel[[#This Row],[Safekeeping of logs]]="",
   "",
   VLOOKUP(T_Channel[[#This Row],[Safekeeping of logs]],T_List_LogMode[],2,FALSE)
)</f>
        <v/>
      </c>
      <c r="X793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794" spans="2:24" x14ac:dyDescent="0.45">
      <c r="B794" s="7"/>
      <c r="C794" s="7"/>
      <c r="D794" s="7"/>
      <c r="E794" s="7"/>
      <c r="F794" s="6"/>
      <c r="G794" s="6"/>
      <c r="H794" s="6"/>
      <c r="I794" s="6"/>
      <c r="J794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794" s="21"/>
      <c r="L794" s="7"/>
      <c r="M794" s="41"/>
      <c r="N794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794" s="26" t="str">
        <f>IF(
   T_Channel[[#This Row],[ProviderName]]="",
   "",
   COUNTIF($N$12:$N$9982,T_Channel[[#This Row],[ProviderName]])
)</f>
        <v/>
      </c>
      <c r="P794" s="26" t="str">
        <f>IF(
   T_Channel[[#This Row],[Check]]&lt;&gt;"OK",
   "",
   IF(
      T_Channel[[#This Row],[Query]]="",
      "Empty",
      "Defined"
   )
)</f>
        <v/>
      </c>
      <c r="Q794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794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794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79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794" s="20" t="str">
        <f>IF(
   T_Channel[[#This Row],[Check]]&lt;&gt;"OK",
   "",
   T_Channel[[#This Row],[ChannelSymbol]] &amp; ".evtx"
)</f>
        <v/>
      </c>
      <c r="V794" s="20" t="str">
        <f>IF(
   T_Channel[[#This Row],[Check]]&lt;&gt;"OK",
   "",
   T_Channel[[#This Row],[LogFolder]] &amp; "\" &amp; T_Channel[[#This Row],[LogFile]]
)</f>
        <v/>
      </c>
      <c r="W794" s="20" t="str">
        <f>IF(
   T_Channel[[#This Row],[Safekeeping of logs]]="",
   "",
   VLOOKUP(T_Channel[[#This Row],[Safekeeping of logs]],T_List_LogMode[],2,FALSE)
)</f>
        <v/>
      </c>
      <c r="X794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795" spans="2:24" x14ac:dyDescent="0.45">
      <c r="B795" s="7"/>
      <c r="C795" s="7"/>
      <c r="D795" s="7"/>
      <c r="E795" s="7"/>
      <c r="F795" s="6"/>
      <c r="G795" s="6"/>
      <c r="H795" s="6"/>
      <c r="I795" s="6"/>
      <c r="J795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795" s="21"/>
      <c r="L795" s="7"/>
      <c r="M795" s="41"/>
      <c r="N795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795" s="26" t="str">
        <f>IF(
   T_Channel[[#This Row],[ProviderName]]="",
   "",
   COUNTIF($N$12:$N$9982,T_Channel[[#This Row],[ProviderName]])
)</f>
        <v/>
      </c>
      <c r="P795" s="26" t="str">
        <f>IF(
   T_Channel[[#This Row],[Check]]&lt;&gt;"OK",
   "",
   IF(
      T_Channel[[#This Row],[Query]]="",
      "Empty",
      "Defined"
   )
)</f>
        <v/>
      </c>
      <c r="Q795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795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795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79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795" s="20" t="str">
        <f>IF(
   T_Channel[[#This Row],[Check]]&lt;&gt;"OK",
   "",
   T_Channel[[#This Row],[ChannelSymbol]] &amp; ".evtx"
)</f>
        <v/>
      </c>
      <c r="V795" s="20" t="str">
        <f>IF(
   T_Channel[[#This Row],[Check]]&lt;&gt;"OK",
   "",
   T_Channel[[#This Row],[LogFolder]] &amp; "\" &amp; T_Channel[[#This Row],[LogFile]]
)</f>
        <v/>
      </c>
      <c r="W795" s="20" t="str">
        <f>IF(
   T_Channel[[#This Row],[Safekeeping of logs]]="",
   "",
   VLOOKUP(T_Channel[[#This Row],[Safekeeping of logs]],T_List_LogMode[],2,FALSE)
)</f>
        <v/>
      </c>
      <c r="X795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796" spans="2:24" x14ac:dyDescent="0.45">
      <c r="B796" s="7"/>
      <c r="C796" s="7"/>
      <c r="D796" s="7"/>
      <c r="E796" s="7"/>
      <c r="F796" s="6"/>
      <c r="G796" s="6"/>
      <c r="H796" s="6"/>
      <c r="I796" s="6"/>
      <c r="J796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796" s="21"/>
      <c r="L796" s="7"/>
      <c r="M796" s="41"/>
      <c r="N796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796" s="26" t="str">
        <f>IF(
   T_Channel[[#This Row],[ProviderName]]="",
   "",
   COUNTIF($N$12:$N$9982,T_Channel[[#This Row],[ProviderName]])
)</f>
        <v/>
      </c>
      <c r="P796" s="26" t="str">
        <f>IF(
   T_Channel[[#This Row],[Check]]&lt;&gt;"OK",
   "",
   IF(
      T_Channel[[#This Row],[Query]]="",
      "Empty",
      "Defined"
   )
)</f>
        <v/>
      </c>
      <c r="Q796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796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796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79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796" s="20" t="str">
        <f>IF(
   T_Channel[[#This Row],[Check]]&lt;&gt;"OK",
   "",
   T_Channel[[#This Row],[ChannelSymbol]] &amp; ".evtx"
)</f>
        <v/>
      </c>
      <c r="V796" s="20" t="str">
        <f>IF(
   T_Channel[[#This Row],[Check]]&lt;&gt;"OK",
   "",
   T_Channel[[#This Row],[LogFolder]] &amp; "\" &amp; T_Channel[[#This Row],[LogFile]]
)</f>
        <v/>
      </c>
      <c r="W796" s="20" t="str">
        <f>IF(
   T_Channel[[#This Row],[Safekeeping of logs]]="",
   "",
   VLOOKUP(T_Channel[[#This Row],[Safekeeping of logs]],T_List_LogMode[],2,FALSE)
)</f>
        <v/>
      </c>
      <c r="X796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797" spans="2:24" x14ac:dyDescent="0.45">
      <c r="B797" s="7"/>
      <c r="C797" s="7"/>
      <c r="D797" s="7"/>
      <c r="E797" s="7"/>
      <c r="F797" s="6"/>
      <c r="G797" s="6"/>
      <c r="H797" s="6"/>
      <c r="I797" s="6"/>
      <c r="J797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797" s="21"/>
      <c r="L797" s="7"/>
      <c r="M797" s="41"/>
      <c r="N797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797" s="26" t="str">
        <f>IF(
   T_Channel[[#This Row],[ProviderName]]="",
   "",
   COUNTIF($N$12:$N$9982,T_Channel[[#This Row],[ProviderName]])
)</f>
        <v/>
      </c>
      <c r="P797" s="26" t="str">
        <f>IF(
   T_Channel[[#This Row],[Check]]&lt;&gt;"OK",
   "",
   IF(
      T_Channel[[#This Row],[Query]]="",
      "Empty",
      "Defined"
   )
)</f>
        <v/>
      </c>
      <c r="Q797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797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797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79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797" s="20" t="str">
        <f>IF(
   T_Channel[[#This Row],[Check]]&lt;&gt;"OK",
   "",
   T_Channel[[#This Row],[ChannelSymbol]] &amp; ".evtx"
)</f>
        <v/>
      </c>
      <c r="V797" s="20" t="str">
        <f>IF(
   T_Channel[[#This Row],[Check]]&lt;&gt;"OK",
   "",
   T_Channel[[#This Row],[LogFolder]] &amp; "\" &amp; T_Channel[[#This Row],[LogFile]]
)</f>
        <v/>
      </c>
      <c r="W797" s="20" t="str">
        <f>IF(
   T_Channel[[#This Row],[Safekeeping of logs]]="",
   "",
   VLOOKUP(T_Channel[[#This Row],[Safekeeping of logs]],T_List_LogMode[],2,FALSE)
)</f>
        <v/>
      </c>
      <c r="X797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798" spans="2:24" x14ac:dyDescent="0.45">
      <c r="B798" s="7"/>
      <c r="C798" s="7"/>
      <c r="D798" s="7"/>
      <c r="E798" s="7"/>
      <c r="F798" s="6"/>
      <c r="G798" s="6"/>
      <c r="H798" s="6"/>
      <c r="I798" s="6"/>
      <c r="J798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798" s="21"/>
      <c r="L798" s="7"/>
      <c r="M798" s="41"/>
      <c r="N798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798" s="26" t="str">
        <f>IF(
   T_Channel[[#This Row],[ProviderName]]="",
   "",
   COUNTIF($N$12:$N$9982,T_Channel[[#This Row],[ProviderName]])
)</f>
        <v/>
      </c>
      <c r="P798" s="26" t="str">
        <f>IF(
   T_Channel[[#This Row],[Check]]&lt;&gt;"OK",
   "",
   IF(
      T_Channel[[#This Row],[Query]]="",
      "Empty",
      "Defined"
   )
)</f>
        <v/>
      </c>
      <c r="Q798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798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798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79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798" s="20" t="str">
        <f>IF(
   T_Channel[[#This Row],[Check]]&lt;&gt;"OK",
   "",
   T_Channel[[#This Row],[ChannelSymbol]] &amp; ".evtx"
)</f>
        <v/>
      </c>
      <c r="V798" s="20" t="str">
        <f>IF(
   T_Channel[[#This Row],[Check]]&lt;&gt;"OK",
   "",
   T_Channel[[#This Row],[LogFolder]] &amp; "\" &amp; T_Channel[[#This Row],[LogFile]]
)</f>
        <v/>
      </c>
      <c r="W798" s="20" t="str">
        <f>IF(
   T_Channel[[#This Row],[Safekeeping of logs]]="",
   "",
   VLOOKUP(T_Channel[[#This Row],[Safekeeping of logs]],T_List_LogMode[],2,FALSE)
)</f>
        <v/>
      </c>
      <c r="X798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799" spans="2:24" x14ac:dyDescent="0.45">
      <c r="B799" s="7"/>
      <c r="C799" s="7"/>
      <c r="D799" s="7"/>
      <c r="E799" s="7"/>
      <c r="F799" s="6"/>
      <c r="G799" s="6"/>
      <c r="H799" s="6"/>
      <c r="I799" s="6"/>
      <c r="J799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799" s="21"/>
      <c r="L799" s="7"/>
      <c r="M799" s="41"/>
      <c r="N799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799" s="26" t="str">
        <f>IF(
   T_Channel[[#This Row],[ProviderName]]="",
   "",
   COUNTIF($N$12:$N$9982,T_Channel[[#This Row],[ProviderName]])
)</f>
        <v/>
      </c>
      <c r="P799" s="26" t="str">
        <f>IF(
   T_Channel[[#This Row],[Check]]&lt;&gt;"OK",
   "",
   IF(
      T_Channel[[#This Row],[Query]]="",
      "Empty",
      "Defined"
   )
)</f>
        <v/>
      </c>
      <c r="Q799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799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799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79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799" s="20" t="str">
        <f>IF(
   T_Channel[[#This Row],[Check]]&lt;&gt;"OK",
   "",
   T_Channel[[#This Row],[ChannelSymbol]] &amp; ".evtx"
)</f>
        <v/>
      </c>
      <c r="V799" s="20" t="str">
        <f>IF(
   T_Channel[[#This Row],[Check]]&lt;&gt;"OK",
   "",
   T_Channel[[#This Row],[LogFolder]] &amp; "\" &amp; T_Channel[[#This Row],[LogFile]]
)</f>
        <v/>
      </c>
      <c r="W799" s="20" t="str">
        <f>IF(
   T_Channel[[#This Row],[Safekeeping of logs]]="",
   "",
   VLOOKUP(T_Channel[[#This Row],[Safekeeping of logs]],T_List_LogMode[],2,FALSE)
)</f>
        <v/>
      </c>
      <c r="X799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800" spans="2:24" x14ac:dyDescent="0.45">
      <c r="B800" s="7"/>
      <c r="C800" s="7"/>
      <c r="D800" s="7"/>
      <c r="E800" s="7"/>
      <c r="F800" s="6"/>
      <c r="G800" s="6"/>
      <c r="H800" s="6"/>
      <c r="I800" s="6"/>
      <c r="J800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800" s="21"/>
      <c r="L800" s="7"/>
      <c r="M800" s="41"/>
      <c r="N800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800" s="26" t="str">
        <f>IF(
   T_Channel[[#This Row],[ProviderName]]="",
   "",
   COUNTIF($N$12:$N$9982,T_Channel[[#This Row],[ProviderName]])
)</f>
        <v/>
      </c>
      <c r="P800" s="26" t="str">
        <f>IF(
   T_Channel[[#This Row],[Check]]&lt;&gt;"OK",
   "",
   IF(
      T_Channel[[#This Row],[Query]]="",
      "Empty",
      "Defined"
   )
)</f>
        <v/>
      </c>
      <c r="Q800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800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800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80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800" s="20" t="str">
        <f>IF(
   T_Channel[[#This Row],[Check]]&lt;&gt;"OK",
   "",
   T_Channel[[#This Row],[ChannelSymbol]] &amp; ".evtx"
)</f>
        <v/>
      </c>
      <c r="V800" s="20" t="str">
        <f>IF(
   T_Channel[[#This Row],[Check]]&lt;&gt;"OK",
   "",
   T_Channel[[#This Row],[LogFolder]] &amp; "\" &amp; T_Channel[[#This Row],[LogFile]]
)</f>
        <v/>
      </c>
      <c r="W800" s="20" t="str">
        <f>IF(
   T_Channel[[#This Row],[Safekeeping of logs]]="",
   "",
   VLOOKUP(T_Channel[[#This Row],[Safekeeping of logs]],T_List_LogMode[],2,FALSE)
)</f>
        <v/>
      </c>
      <c r="X800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801" spans="2:24" x14ac:dyDescent="0.45">
      <c r="B801" s="7"/>
      <c r="C801" s="7"/>
      <c r="D801" s="7"/>
      <c r="E801" s="7"/>
      <c r="F801" s="6"/>
      <c r="G801" s="6"/>
      <c r="H801" s="6"/>
      <c r="I801" s="6"/>
      <c r="J801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801" s="21"/>
      <c r="L801" s="7"/>
      <c r="M801" s="41"/>
      <c r="N801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801" s="26" t="str">
        <f>IF(
   T_Channel[[#This Row],[ProviderName]]="",
   "",
   COUNTIF($N$12:$N$9982,T_Channel[[#This Row],[ProviderName]])
)</f>
        <v/>
      </c>
      <c r="P801" s="26" t="str">
        <f>IF(
   T_Channel[[#This Row],[Check]]&lt;&gt;"OK",
   "",
   IF(
      T_Channel[[#This Row],[Query]]="",
      "Empty",
      "Defined"
   )
)</f>
        <v/>
      </c>
      <c r="Q801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801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801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80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801" s="20" t="str">
        <f>IF(
   T_Channel[[#This Row],[Check]]&lt;&gt;"OK",
   "",
   T_Channel[[#This Row],[ChannelSymbol]] &amp; ".evtx"
)</f>
        <v/>
      </c>
      <c r="V801" s="20" t="str">
        <f>IF(
   T_Channel[[#This Row],[Check]]&lt;&gt;"OK",
   "",
   T_Channel[[#This Row],[LogFolder]] &amp; "\" &amp; T_Channel[[#This Row],[LogFile]]
)</f>
        <v/>
      </c>
      <c r="W801" s="20" t="str">
        <f>IF(
   T_Channel[[#This Row],[Safekeeping of logs]]="",
   "",
   VLOOKUP(T_Channel[[#This Row],[Safekeeping of logs]],T_List_LogMode[],2,FALSE)
)</f>
        <v/>
      </c>
      <c r="X801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802" spans="2:24" x14ac:dyDescent="0.45">
      <c r="B802" s="7"/>
      <c r="C802" s="7"/>
      <c r="D802" s="7"/>
      <c r="E802" s="7"/>
      <c r="F802" s="6"/>
      <c r="G802" s="6"/>
      <c r="H802" s="6"/>
      <c r="I802" s="6"/>
      <c r="J802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802" s="21"/>
      <c r="L802" s="7"/>
      <c r="M802" s="41"/>
      <c r="N802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802" s="26" t="str">
        <f>IF(
   T_Channel[[#This Row],[ProviderName]]="",
   "",
   COUNTIF($N$12:$N$9982,T_Channel[[#This Row],[ProviderName]])
)</f>
        <v/>
      </c>
      <c r="P802" s="26" t="str">
        <f>IF(
   T_Channel[[#This Row],[Check]]&lt;&gt;"OK",
   "",
   IF(
      T_Channel[[#This Row],[Query]]="",
      "Empty",
      "Defined"
   )
)</f>
        <v/>
      </c>
      <c r="Q802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802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802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80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802" s="20" t="str">
        <f>IF(
   T_Channel[[#This Row],[Check]]&lt;&gt;"OK",
   "",
   T_Channel[[#This Row],[ChannelSymbol]] &amp; ".evtx"
)</f>
        <v/>
      </c>
      <c r="V802" s="20" t="str">
        <f>IF(
   T_Channel[[#This Row],[Check]]&lt;&gt;"OK",
   "",
   T_Channel[[#This Row],[LogFolder]] &amp; "\" &amp; T_Channel[[#This Row],[LogFile]]
)</f>
        <v/>
      </c>
      <c r="W802" s="20" t="str">
        <f>IF(
   T_Channel[[#This Row],[Safekeeping of logs]]="",
   "",
   VLOOKUP(T_Channel[[#This Row],[Safekeeping of logs]],T_List_LogMode[],2,FALSE)
)</f>
        <v/>
      </c>
      <c r="X802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803" spans="2:24" x14ac:dyDescent="0.45">
      <c r="B803" s="7"/>
      <c r="C803" s="7"/>
      <c r="D803" s="7"/>
      <c r="E803" s="7"/>
      <c r="F803" s="6"/>
      <c r="G803" s="6"/>
      <c r="H803" s="6"/>
      <c r="I803" s="6"/>
      <c r="J803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803" s="21"/>
      <c r="L803" s="7"/>
      <c r="M803" s="41"/>
      <c r="N803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803" s="26" t="str">
        <f>IF(
   T_Channel[[#This Row],[ProviderName]]="",
   "",
   COUNTIF($N$12:$N$9982,T_Channel[[#This Row],[ProviderName]])
)</f>
        <v/>
      </c>
      <c r="P803" s="26" t="str">
        <f>IF(
   T_Channel[[#This Row],[Check]]&lt;&gt;"OK",
   "",
   IF(
      T_Channel[[#This Row],[Query]]="",
      "Empty",
      "Defined"
   )
)</f>
        <v/>
      </c>
      <c r="Q803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803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803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80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803" s="20" t="str">
        <f>IF(
   T_Channel[[#This Row],[Check]]&lt;&gt;"OK",
   "",
   T_Channel[[#This Row],[ChannelSymbol]] &amp; ".evtx"
)</f>
        <v/>
      </c>
      <c r="V803" s="20" t="str">
        <f>IF(
   T_Channel[[#This Row],[Check]]&lt;&gt;"OK",
   "",
   T_Channel[[#This Row],[LogFolder]] &amp; "\" &amp; T_Channel[[#This Row],[LogFile]]
)</f>
        <v/>
      </c>
      <c r="W803" s="20" t="str">
        <f>IF(
   T_Channel[[#This Row],[Safekeeping of logs]]="",
   "",
   VLOOKUP(T_Channel[[#This Row],[Safekeeping of logs]],T_List_LogMode[],2,FALSE)
)</f>
        <v/>
      </c>
      <c r="X803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804" spans="2:24" x14ac:dyDescent="0.45">
      <c r="B804" s="7"/>
      <c r="C804" s="7"/>
      <c r="D804" s="7"/>
      <c r="E804" s="7"/>
      <c r="F804" s="6"/>
      <c r="G804" s="6"/>
      <c r="H804" s="6"/>
      <c r="I804" s="6"/>
      <c r="J804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804" s="21"/>
      <c r="L804" s="7"/>
      <c r="M804" s="41"/>
      <c r="N804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804" s="26" t="str">
        <f>IF(
   T_Channel[[#This Row],[ProviderName]]="",
   "",
   COUNTIF($N$12:$N$9982,T_Channel[[#This Row],[ProviderName]])
)</f>
        <v/>
      </c>
      <c r="P804" s="26" t="str">
        <f>IF(
   T_Channel[[#This Row],[Check]]&lt;&gt;"OK",
   "",
   IF(
      T_Channel[[#This Row],[Query]]="",
      "Empty",
      "Defined"
   )
)</f>
        <v/>
      </c>
      <c r="Q804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804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804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80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804" s="20" t="str">
        <f>IF(
   T_Channel[[#This Row],[Check]]&lt;&gt;"OK",
   "",
   T_Channel[[#This Row],[ChannelSymbol]] &amp; ".evtx"
)</f>
        <v/>
      </c>
      <c r="V804" s="20" t="str">
        <f>IF(
   T_Channel[[#This Row],[Check]]&lt;&gt;"OK",
   "",
   T_Channel[[#This Row],[LogFolder]] &amp; "\" &amp; T_Channel[[#This Row],[LogFile]]
)</f>
        <v/>
      </c>
      <c r="W804" s="20" t="str">
        <f>IF(
   T_Channel[[#This Row],[Safekeeping of logs]]="",
   "",
   VLOOKUP(T_Channel[[#This Row],[Safekeeping of logs]],T_List_LogMode[],2,FALSE)
)</f>
        <v/>
      </c>
      <c r="X804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805" spans="2:24" x14ac:dyDescent="0.45">
      <c r="B805" s="7"/>
      <c r="C805" s="7"/>
      <c r="D805" s="7"/>
      <c r="E805" s="7"/>
      <c r="F805" s="6"/>
      <c r="G805" s="6"/>
      <c r="H805" s="6"/>
      <c r="I805" s="6"/>
      <c r="J805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805" s="21"/>
      <c r="L805" s="7"/>
      <c r="M805" s="41"/>
      <c r="N805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805" s="26" t="str">
        <f>IF(
   T_Channel[[#This Row],[ProviderName]]="",
   "",
   COUNTIF($N$12:$N$9982,T_Channel[[#This Row],[ProviderName]])
)</f>
        <v/>
      </c>
      <c r="P805" s="26" t="str">
        <f>IF(
   T_Channel[[#This Row],[Check]]&lt;&gt;"OK",
   "",
   IF(
      T_Channel[[#This Row],[Query]]="",
      "Empty",
      "Defined"
   )
)</f>
        <v/>
      </c>
      <c r="Q805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805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805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80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805" s="20" t="str">
        <f>IF(
   T_Channel[[#This Row],[Check]]&lt;&gt;"OK",
   "",
   T_Channel[[#This Row],[ChannelSymbol]] &amp; ".evtx"
)</f>
        <v/>
      </c>
      <c r="V805" s="20" t="str">
        <f>IF(
   T_Channel[[#This Row],[Check]]&lt;&gt;"OK",
   "",
   T_Channel[[#This Row],[LogFolder]] &amp; "\" &amp; T_Channel[[#This Row],[LogFile]]
)</f>
        <v/>
      </c>
      <c r="W805" s="20" t="str">
        <f>IF(
   T_Channel[[#This Row],[Safekeeping of logs]]="",
   "",
   VLOOKUP(T_Channel[[#This Row],[Safekeeping of logs]],T_List_LogMode[],2,FALSE)
)</f>
        <v/>
      </c>
      <c r="X805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806" spans="2:24" x14ac:dyDescent="0.45">
      <c r="B806" s="7"/>
      <c r="C806" s="7"/>
      <c r="D806" s="7"/>
      <c r="E806" s="7"/>
      <c r="F806" s="6"/>
      <c r="G806" s="6"/>
      <c r="H806" s="6"/>
      <c r="I806" s="6"/>
      <c r="J806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806" s="21"/>
      <c r="L806" s="7"/>
      <c r="M806" s="41"/>
      <c r="N806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806" s="26" t="str">
        <f>IF(
   T_Channel[[#This Row],[ProviderName]]="",
   "",
   COUNTIF($N$12:$N$9982,T_Channel[[#This Row],[ProviderName]])
)</f>
        <v/>
      </c>
      <c r="P806" s="26" t="str">
        <f>IF(
   T_Channel[[#This Row],[Check]]&lt;&gt;"OK",
   "",
   IF(
      T_Channel[[#This Row],[Query]]="",
      "Empty",
      "Defined"
   )
)</f>
        <v/>
      </c>
      <c r="Q806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806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806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80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806" s="20" t="str">
        <f>IF(
   T_Channel[[#This Row],[Check]]&lt;&gt;"OK",
   "",
   T_Channel[[#This Row],[ChannelSymbol]] &amp; ".evtx"
)</f>
        <v/>
      </c>
      <c r="V806" s="20" t="str">
        <f>IF(
   T_Channel[[#This Row],[Check]]&lt;&gt;"OK",
   "",
   T_Channel[[#This Row],[LogFolder]] &amp; "\" &amp; T_Channel[[#This Row],[LogFile]]
)</f>
        <v/>
      </c>
      <c r="W806" s="20" t="str">
        <f>IF(
   T_Channel[[#This Row],[Safekeeping of logs]]="",
   "",
   VLOOKUP(T_Channel[[#This Row],[Safekeeping of logs]],T_List_LogMode[],2,FALSE)
)</f>
        <v/>
      </c>
      <c r="X806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807" spans="2:24" x14ac:dyDescent="0.45">
      <c r="B807" s="7"/>
      <c r="C807" s="7"/>
      <c r="D807" s="7"/>
      <c r="E807" s="7"/>
      <c r="F807" s="6"/>
      <c r="G807" s="6"/>
      <c r="H807" s="6"/>
      <c r="I807" s="6"/>
      <c r="J807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807" s="21"/>
      <c r="L807" s="7"/>
      <c r="M807" s="41"/>
      <c r="N807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807" s="26" t="str">
        <f>IF(
   T_Channel[[#This Row],[ProviderName]]="",
   "",
   COUNTIF($N$12:$N$9982,T_Channel[[#This Row],[ProviderName]])
)</f>
        <v/>
      </c>
      <c r="P807" s="26" t="str">
        <f>IF(
   T_Channel[[#This Row],[Check]]&lt;&gt;"OK",
   "",
   IF(
      T_Channel[[#This Row],[Query]]="",
      "Empty",
      "Defined"
   )
)</f>
        <v/>
      </c>
      <c r="Q807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807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807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80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807" s="20" t="str">
        <f>IF(
   T_Channel[[#This Row],[Check]]&lt;&gt;"OK",
   "",
   T_Channel[[#This Row],[ChannelSymbol]] &amp; ".evtx"
)</f>
        <v/>
      </c>
      <c r="V807" s="20" t="str">
        <f>IF(
   T_Channel[[#This Row],[Check]]&lt;&gt;"OK",
   "",
   T_Channel[[#This Row],[LogFolder]] &amp; "\" &amp; T_Channel[[#This Row],[LogFile]]
)</f>
        <v/>
      </c>
      <c r="W807" s="20" t="str">
        <f>IF(
   T_Channel[[#This Row],[Safekeeping of logs]]="",
   "",
   VLOOKUP(T_Channel[[#This Row],[Safekeeping of logs]],T_List_LogMode[],2,FALSE)
)</f>
        <v/>
      </c>
      <c r="X807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808" spans="2:24" x14ac:dyDescent="0.45">
      <c r="B808" s="7"/>
      <c r="C808" s="7"/>
      <c r="D808" s="7"/>
      <c r="E808" s="7"/>
      <c r="F808" s="6"/>
      <c r="G808" s="6"/>
      <c r="H808" s="6"/>
      <c r="I808" s="6"/>
      <c r="J808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808" s="21"/>
      <c r="L808" s="7"/>
      <c r="M808" s="41"/>
      <c r="N808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808" s="26" t="str">
        <f>IF(
   T_Channel[[#This Row],[ProviderName]]="",
   "",
   COUNTIF($N$12:$N$9982,T_Channel[[#This Row],[ProviderName]])
)</f>
        <v/>
      </c>
      <c r="P808" s="26" t="str">
        <f>IF(
   T_Channel[[#This Row],[Check]]&lt;&gt;"OK",
   "",
   IF(
      T_Channel[[#This Row],[Query]]="",
      "Empty",
      "Defined"
   )
)</f>
        <v/>
      </c>
      <c r="Q808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808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808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80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808" s="20" t="str">
        <f>IF(
   T_Channel[[#This Row],[Check]]&lt;&gt;"OK",
   "",
   T_Channel[[#This Row],[ChannelSymbol]] &amp; ".evtx"
)</f>
        <v/>
      </c>
      <c r="V808" s="20" t="str">
        <f>IF(
   T_Channel[[#This Row],[Check]]&lt;&gt;"OK",
   "",
   T_Channel[[#This Row],[LogFolder]] &amp; "\" &amp; T_Channel[[#This Row],[LogFile]]
)</f>
        <v/>
      </c>
      <c r="W808" s="20" t="str">
        <f>IF(
   T_Channel[[#This Row],[Safekeeping of logs]]="",
   "",
   VLOOKUP(T_Channel[[#This Row],[Safekeeping of logs]],T_List_LogMode[],2,FALSE)
)</f>
        <v/>
      </c>
      <c r="X808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809" spans="2:24" x14ac:dyDescent="0.45">
      <c r="B809" s="7"/>
      <c r="C809" s="7"/>
      <c r="D809" s="7"/>
      <c r="E809" s="7"/>
      <c r="F809" s="6"/>
      <c r="G809" s="6"/>
      <c r="H809" s="6"/>
      <c r="I809" s="6"/>
      <c r="J809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809" s="21"/>
      <c r="L809" s="7"/>
      <c r="M809" s="41"/>
      <c r="N809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809" s="26" t="str">
        <f>IF(
   T_Channel[[#This Row],[ProviderName]]="",
   "",
   COUNTIF($N$12:$N$9982,T_Channel[[#This Row],[ProviderName]])
)</f>
        <v/>
      </c>
      <c r="P809" s="26" t="str">
        <f>IF(
   T_Channel[[#This Row],[Check]]&lt;&gt;"OK",
   "",
   IF(
      T_Channel[[#This Row],[Query]]="",
      "Empty",
      "Defined"
   )
)</f>
        <v/>
      </c>
      <c r="Q809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809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809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80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809" s="20" t="str">
        <f>IF(
   T_Channel[[#This Row],[Check]]&lt;&gt;"OK",
   "",
   T_Channel[[#This Row],[ChannelSymbol]] &amp; ".evtx"
)</f>
        <v/>
      </c>
      <c r="V809" s="20" t="str">
        <f>IF(
   T_Channel[[#This Row],[Check]]&lt;&gt;"OK",
   "",
   T_Channel[[#This Row],[LogFolder]] &amp; "\" &amp; T_Channel[[#This Row],[LogFile]]
)</f>
        <v/>
      </c>
      <c r="W809" s="20" t="str">
        <f>IF(
   T_Channel[[#This Row],[Safekeeping of logs]]="",
   "",
   VLOOKUP(T_Channel[[#This Row],[Safekeeping of logs]],T_List_LogMode[],2,FALSE)
)</f>
        <v/>
      </c>
      <c r="X809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810" spans="2:24" x14ac:dyDescent="0.45">
      <c r="B810" s="7"/>
      <c r="C810" s="7"/>
      <c r="D810" s="7"/>
      <c r="E810" s="7"/>
      <c r="F810" s="6"/>
      <c r="G810" s="6"/>
      <c r="H810" s="6"/>
      <c r="I810" s="6"/>
      <c r="J810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810" s="21"/>
      <c r="L810" s="7"/>
      <c r="M810" s="41"/>
      <c r="N810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810" s="26" t="str">
        <f>IF(
   T_Channel[[#This Row],[ProviderName]]="",
   "",
   COUNTIF($N$12:$N$9982,T_Channel[[#This Row],[ProviderName]])
)</f>
        <v/>
      </c>
      <c r="P810" s="26" t="str">
        <f>IF(
   T_Channel[[#This Row],[Check]]&lt;&gt;"OK",
   "",
   IF(
      T_Channel[[#This Row],[Query]]="",
      "Empty",
      "Defined"
   )
)</f>
        <v/>
      </c>
      <c r="Q810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810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810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81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810" s="20" t="str">
        <f>IF(
   T_Channel[[#This Row],[Check]]&lt;&gt;"OK",
   "",
   T_Channel[[#This Row],[ChannelSymbol]] &amp; ".evtx"
)</f>
        <v/>
      </c>
      <c r="V810" s="20" t="str">
        <f>IF(
   T_Channel[[#This Row],[Check]]&lt;&gt;"OK",
   "",
   T_Channel[[#This Row],[LogFolder]] &amp; "\" &amp; T_Channel[[#This Row],[LogFile]]
)</f>
        <v/>
      </c>
      <c r="W810" s="20" t="str">
        <f>IF(
   T_Channel[[#This Row],[Safekeeping of logs]]="",
   "",
   VLOOKUP(T_Channel[[#This Row],[Safekeeping of logs]],T_List_LogMode[],2,FALSE)
)</f>
        <v/>
      </c>
      <c r="X810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811" spans="2:24" x14ac:dyDescent="0.45">
      <c r="B811" s="7"/>
      <c r="C811" s="7"/>
      <c r="D811" s="7"/>
      <c r="E811" s="7"/>
      <c r="F811" s="6"/>
      <c r="G811" s="6"/>
      <c r="H811" s="6"/>
      <c r="I811" s="6"/>
      <c r="J811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811" s="21"/>
      <c r="L811" s="7"/>
      <c r="M811" s="41"/>
      <c r="N811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811" s="26" t="str">
        <f>IF(
   T_Channel[[#This Row],[ProviderName]]="",
   "",
   COUNTIF($N$12:$N$9982,T_Channel[[#This Row],[ProviderName]])
)</f>
        <v/>
      </c>
      <c r="P811" s="26" t="str">
        <f>IF(
   T_Channel[[#This Row],[Check]]&lt;&gt;"OK",
   "",
   IF(
      T_Channel[[#This Row],[Query]]="",
      "Empty",
      "Defined"
   )
)</f>
        <v/>
      </c>
      <c r="Q811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811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811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81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811" s="20" t="str">
        <f>IF(
   T_Channel[[#This Row],[Check]]&lt;&gt;"OK",
   "",
   T_Channel[[#This Row],[ChannelSymbol]] &amp; ".evtx"
)</f>
        <v/>
      </c>
      <c r="V811" s="20" t="str">
        <f>IF(
   T_Channel[[#This Row],[Check]]&lt;&gt;"OK",
   "",
   T_Channel[[#This Row],[LogFolder]] &amp; "\" &amp; T_Channel[[#This Row],[LogFile]]
)</f>
        <v/>
      </c>
      <c r="W811" s="20" t="str">
        <f>IF(
   T_Channel[[#This Row],[Safekeeping of logs]]="",
   "",
   VLOOKUP(T_Channel[[#This Row],[Safekeeping of logs]],T_List_LogMode[],2,FALSE)
)</f>
        <v/>
      </c>
      <c r="X811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812" spans="2:24" x14ac:dyDescent="0.45">
      <c r="B812" s="7"/>
      <c r="C812" s="7"/>
      <c r="D812" s="7"/>
      <c r="E812" s="7"/>
      <c r="F812" s="6"/>
      <c r="G812" s="6"/>
      <c r="H812" s="6"/>
      <c r="I812" s="6"/>
      <c r="J812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812" s="21"/>
      <c r="L812" s="7"/>
      <c r="M812" s="41"/>
      <c r="N812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812" s="26" t="str">
        <f>IF(
   T_Channel[[#This Row],[ProviderName]]="",
   "",
   COUNTIF($N$12:$N$9982,T_Channel[[#This Row],[ProviderName]])
)</f>
        <v/>
      </c>
      <c r="P812" s="26" t="str">
        <f>IF(
   T_Channel[[#This Row],[Check]]&lt;&gt;"OK",
   "",
   IF(
      T_Channel[[#This Row],[Query]]="",
      "Empty",
      "Defined"
   )
)</f>
        <v/>
      </c>
      <c r="Q812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812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812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81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812" s="20" t="str">
        <f>IF(
   T_Channel[[#This Row],[Check]]&lt;&gt;"OK",
   "",
   T_Channel[[#This Row],[ChannelSymbol]] &amp; ".evtx"
)</f>
        <v/>
      </c>
      <c r="V812" s="20" t="str">
        <f>IF(
   T_Channel[[#This Row],[Check]]&lt;&gt;"OK",
   "",
   T_Channel[[#This Row],[LogFolder]] &amp; "\" &amp; T_Channel[[#This Row],[LogFile]]
)</f>
        <v/>
      </c>
      <c r="W812" s="20" t="str">
        <f>IF(
   T_Channel[[#This Row],[Safekeeping of logs]]="",
   "",
   VLOOKUP(T_Channel[[#This Row],[Safekeeping of logs]],T_List_LogMode[],2,FALSE)
)</f>
        <v/>
      </c>
      <c r="X812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813" spans="2:24" x14ac:dyDescent="0.45">
      <c r="B813" s="7"/>
      <c r="C813" s="7"/>
      <c r="D813" s="7"/>
      <c r="E813" s="7"/>
      <c r="F813" s="6"/>
      <c r="G813" s="6"/>
      <c r="H813" s="6"/>
      <c r="I813" s="6"/>
      <c r="J813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813" s="21"/>
      <c r="L813" s="7"/>
      <c r="M813" s="41"/>
      <c r="N813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813" s="26" t="str">
        <f>IF(
   T_Channel[[#This Row],[ProviderName]]="",
   "",
   COUNTIF($N$12:$N$9982,T_Channel[[#This Row],[ProviderName]])
)</f>
        <v/>
      </c>
      <c r="P813" s="26" t="str">
        <f>IF(
   T_Channel[[#This Row],[Check]]&lt;&gt;"OK",
   "",
   IF(
      T_Channel[[#This Row],[Query]]="",
      "Empty",
      "Defined"
   )
)</f>
        <v/>
      </c>
      <c r="Q813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813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813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81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813" s="20" t="str">
        <f>IF(
   T_Channel[[#This Row],[Check]]&lt;&gt;"OK",
   "",
   T_Channel[[#This Row],[ChannelSymbol]] &amp; ".evtx"
)</f>
        <v/>
      </c>
      <c r="V813" s="20" t="str">
        <f>IF(
   T_Channel[[#This Row],[Check]]&lt;&gt;"OK",
   "",
   T_Channel[[#This Row],[LogFolder]] &amp; "\" &amp; T_Channel[[#This Row],[LogFile]]
)</f>
        <v/>
      </c>
      <c r="W813" s="20" t="str">
        <f>IF(
   T_Channel[[#This Row],[Safekeeping of logs]]="",
   "",
   VLOOKUP(T_Channel[[#This Row],[Safekeeping of logs]],T_List_LogMode[],2,FALSE)
)</f>
        <v/>
      </c>
      <c r="X813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814" spans="2:24" x14ac:dyDescent="0.45">
      <c r="B814" s="7"/>
      <c r="C814" s="7"/>
      <c r="D814" s="7"/>
      <c r="E814" s="7"/>
      <c r="F814" s="6"/>
      <c r="G814" s="6"/>
      <c r="H814" s="6"/>
      <c r="I814" s="6"/>
      <c r="J814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814" s="21"/>
      <c r="L814" s="7"/>
      <c r="M814" s="41"/>
      <c r="N814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814" s="26" t="str">
        <f>IF(
   T_Channel[[#This Row],[ProviderName]]="",
   "",
   COUNTIF($N$12:$N$9982,T_Channel[[#This Row],[ProviderName]])
)</f>
        <v/>
      </c>
      <c r="P814" s="26" t="str">
        <f>IF(
   T_Channel[[#This Row],[Check]]&lt;&gt;"OK",
   "",
   IF(
      T_Channel[[#This Row],[Query]]="",
      "Empty",
      "Defined"
   )
)</f>
        <v/>
      </c>
      <c r="Q814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814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814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81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814" s="20" t="str">
        <f>IF(
   T_Channel[[#This Row],[Check]]&lt;&gt;"OK",
   "",
   T_Channel[[#This Row],[ChannelSymbol]] &amp; ".evtx"
)</f>
        <v/>
      </c>
      <c r="V814" s="20" t="str">
        <f>IF(
   T_Channel[[#This Row],[Check]]&lt;&gt;"OK",
   "",
   T_Channel[[#This Row],[LogFolder]] &amp; "\" &amp; T_Channel[[#This Row],[LogFile]]
)</f>
        <v/>
      </c>
      <c r="W814" s="20" t="str">
        <f>IF(
   T_Channel[[#This Row],[Safekeeping of logs]]="",
   "",
   VLOOKUP(T_Channel[[#This Row],[Safekeeping of logs]],T_List_LogMode[],2,FALSE)
)</f>
        <v/>
      </c>
      <c r="X814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815" spans="2:24" x14ac:dyDescent="0.45">
      <c r="B815" s="7"/>
      <c r="C815" s="7"/>
      <c r="D815" s="7"/>
      <c r="E815" s="7"/>
      <c r="F815" s="6"/>
      <c r="G815" s="6"/>
      <c r="H815" s="6"/>
      <c r="I815" s="6"/>
      <c r="J815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815" s="21"/>
      <c r="L815" s="7"/>
      <c r="M815" s="41"/>
      <c r="N815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815" s="26" t="str">
        <f>IF(
   T_Channel[[#This Row],[ProviderName]]="",
   "",
   COUNTIF($N$12:$N$9982,T_Channel[[#This Row],[ProviderName]])
)</f>
        <v/>
      </c>
      <c r="P815" s="26" t="str">
        <f>IF(
   T_Channel[[#This Row],[Check]]&lt;&gt;"OK",
   "",
   IF(
      T_Channel[[#This Row],[Query]]="",
      "Empty",
      "Defined"
   )
)</f>
        <v/>
      </c>
      <c r="Q815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815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815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81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815" s="20" t="str">
        <f>IF(
   T_Channel[[#This Row],[Check]]&lt;&gt;"OK",
   "",
   T_Channel[[#This Row],[ChannelSymbol]] &amp; ".evtx"
)</f>
        <v/>
      </c>
      <c r="V815" s="20" t="str">
        <f>IF(
   T_Channel[[#This Row],[Check]]&lt;&gt;"OK",
   "",
   T_Channel[[#This Row],[LogFolder]] &amp; "\" &amp; T_Channel[[#This Row],[LogFile]]
)</f>
        <v/>
      </c>
      <c r="W815" s="20" t="str">
        <f>IF(
   T_Channel[[#This Row],[Safekeeping of logs]]="",
   "",
   VLOOKUP(T_Channel[[#This Row],[Safekeeping of logs]],T_List_LogMode[],2,FALSE)
)</f>
        <v/>
      </c>
      <c r="X815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816" spans="2:24" x14ac:dyDescent="0.45">
      <c r="B816" s="7"/>
      <c r="C816" s="7"/>
      <c r="D816" s="7"/>
      <c r="E816" s="7"/>
      <c r="F816" s="6"/>
      <c r="G816" s="6"/>
      <c r="H816" s="6"/>
      <c r="I816" s="6"/>
      <c r="J816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816" s="21"/>
      <c r="L816" s="7"/>
      <c r="M816" s="41"/>
      <c r="N816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816" s="26" t="str">
        <f>IF(
   T_Channel[[#This Row],[ProviderName]]="",
   "",
   COUNTIF($N$12:$N$9982,T_Channel[[#This Row],[ProviderName]])
)</f>
        <v/>
      </c>
      <c r="P816" s="26" t="str">
        <f>IF(
   T_Channel[[#This Row],[Check]]&lt;&gt;"OK",
   "",
   IF(
      T_Channel[[#This Row],[Query]]="",
      "Empty",
      "Defined"
   )
)</f>
        <v/>
      </c>
      <c r="Q816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816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816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81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816" s="20" t="str">
        <f>IF(
   T_Channel[[#This Row],[Check]]&lt;&gt;"OK",
   "",
   T_Channel[[#This Row],[ChannelSymbol]] &amp; ".evtx"
)</f>
        <v/>
      </c>
      <c r="V816" s="20" t="str">
        <f>IF(
   T_Channel[[#This Row],[Check]]&lt;&gt;"OK",
   "",
   T_Channel[[#This Row],[LogFolder]] &amp; "\" &amp; T_Channel[[#This Row],[LogFile]]
)</f>
        <v/>
      </c>
      <c r="W816" s="20" t="str">
        <f>IF(
   T_Channel[[#This Row],[Safekeeping of logs]]="",
   "",
   VLOOKUP(T_Channel[[#This Row],[Safekeeping of logs]],T_List_LogMode[],2,FALSE)
)</f>
        <v/>
      </c>
      <c r="X816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817" spans="2:24" x14ac:dyDescent="0.45">
      <c r="B817" s="7"/>
      <c r="C817" s="7"/>
      <c r="D817" s="7"/>
      <c r="E817" s="7"/>
      <c r="F817" s="6"/>
      <c r="G817" s="6"/>
      <c r="H817" s="6"/>
      <c r="I817" s="6"/>
      <c r="J817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817" s="21"/>
      <c r="L817" s="7"/>
      <c r="M817" s="41"/>
      <c r="N817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817" s="26" t="str">
        <f>IF(
   T_Channel[[#This Row],[ProviderName]]="",
   "",
   COUNTIF($N$12:$N$9982,T_Channel[[#This Row],[ProviderName]])
)</f>
        <v/>
      </c>
      <c r="P817" s="26" t="str">
        <f>IF(
   T_Channel[[#This Row],[Check]]&lt;&gt;"OK",
   "",
   IF(
      T_Channel[[#This Row],[Query]]="",
      "Empty",
      "Defined"
   )
)</f>
        <v/>
      </c>
      <c r="Q817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817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817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81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817" s="20" t="str">
        <f>IF(
   T_Channel[[#This Row],[Check]]&lt;&gt;"OK",
   "",
   T_Channel[[#This Row],[ChannelSymbol]] &amp; ".evtx"
)</f>
        <v/>
      </c>
      <c r="V817" s="20" t="str">
        <f>IF(
   T_Channel[[#This Row],[Check]]&lt;&gt;"OK",
   "",
   T_Channel[[#This Row],[LogFolder]] &amp; "\" &amp; T_Channel[[#This Row],[LogFile]]
)</f>
        <v/>
      </c>
      <c r="W817" s="20" t="str">
        <f>IF(
   T_Channel[[#This Row],[Safekeeping of logs]]="",
   "",
   VLOOKUP(T_Channel[[#This Row],[Safekeeping of logs]],T_List_LogMode[],2,FALSE)
)</f>
        <v/>
      </c>
      <c r="X817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818" spans="2:24" x14ac:dyDescent="0.45">
      <c r="B818" s="7"/>
      <c r="C818" s="7"/>
      <c r="D818" s="7"/>
      <c r="E818" s="7"/>
      <c r="F818" s="6"/>
      <c r="G818" s="6"/>
      <c r="H818" s="6"/>
      <c r="I818" s="6"/>
      <c r="J818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818" s="21"/>
      <c r="L818" s="7"/>
      <c r="M818" s="41"/>
      <c r="N818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818" s="26" t="str">
        <f>IF(
   T_Channel[[#This Row],[ProviderName]]="",
   "",
   COUNTIF($N$12:$N$9982,T_Channel[[#This Row],[ProviderName]])
)</f>
        <v/>
      </c>
      <c r="P818" s="26" t="str">
        <f>IF(
   T_Channel[[#This Row],[Check]]&lt;&gt;"OK",
   "",
   IF(
      T_Channel[[#This Row],[Query]]="",
      "Empty",
      "Defined"
   )
)</f>
        <v/>
      </c>
      <c r="Q818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818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818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81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818" s="20" t="str">
        <f>IF(
   T_Channel[[#This Row],[Check]]&lt;&gt;"OK",
   "",
   T_Channel[[#This Row],[ChannelSymbol]] &amp; ".evtx"
)</f>
        <v/>
      </c>
      <c r="V818" s="20" t="str">
        <f>IF(
   T_Channel[[#This Row],[Check]]&lt;&gt;"OK",
   "",
   T_Channel[[#This Row],[LogFolder]] &amp; "\" &amp; T_Channel[[#This Row],[LogFile]]
)</f>
        <v/>
      </c>
      <c r="W818" s="20" t="str">
        <f>IF(
   T_Channel[[#This Row],[Safekeeping of logs]]="",
   "",
   VLOOKUP(T_Channel[[#This Row],[Safekeeping of logs]],T_List_LogMode[],2,FALSE)
)</f>
        <v/>
      </c>
      <c r="X818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819" spans="2:24" x14ac:dyDescent="0.45">
      <c r="B819" s="7"/>
      <c r="C819" s="7"/>
      <c r="D819" s="7"/>
      <c r="E819" s="7"/>
      <c r="F819" s="6"/>
      <c r="G819" s="6"/>
      <c r="H819" s="6"/>
      <c r="I819" s="6"/>
      <c r="J819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819" s="21"/>
      <c r="L819" s="7"/>
      <c r="M819" s="41"/>
      <c r="N819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819" s="26" t="str">
        <f>IF(
   T_Channel[[#This Row],[ProviderName]]="",
   "",
   COUNTIF($N$12:$N$9982,T_Channel[[#This Row],[ProviderName]])
)</f>
        <v/>
      </c>
      <c r="P819" s="26" t="str">
        <f>IF(
   T_Channel[[#This Row],[Check]]&lt;&gt;"OK",
   "",
   IF(
      T_Channel[[#This Row],[Query]]="",
      "Empty",
      "Defined"
   )
)</f>
        <v/>
      </c>
      <c r="Q819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819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819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81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819" s="20" t="str">
        <f>IF(
   T_Channel[[#This Row],[Check]]&lt;&gt;"OK",
   "",
   T_Channel[[#This Row],[ChannelSymbol]] &amp; ".evtx"
)</f>
        <v/>
      </c>
      <c r="V819" s="20" t="str">
        <f>IF(
   T_Channel[[#This Row],[Check]]&lt;&gt;"OK",
   "",
   T_Channel[[#This Row],[LogFolder]] &amp; "\" &amp; T_Channel[[#This Row],[LogFile]]
)</f>
        <v/>
      </c>
      <c r="W819" s="20" t="str">
        <f>IF(
   T_Channel[[#This Row],[Safekeeping of logs]]="",
   "",
   VLOOKUP(T_Channel[[#This Row],[Safekeeping of logs]],T_List_LogMode[],2,FALSE)
)</f>
        <v/>
      </c>
      <c r="X819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820" spans="2:24" x14ac:dyDescent="0.45">
      <c r="B820" s="7"/>
      <c r="C820" s="7"/>
      <c r="D820" s="7"/>
      <c r="E820" s="7"/>
      <c r="F820" s="6"/>
      <c r="G820" s="6"/>
      <c r="H820" s="6"/>
      <c r="I820" s="6"/>
      <c r="J820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820" s="21"/>
      <c r="L820" s="7"/>
      <c r="M820" s="41"/>
      <c r="N820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820" s="26" t="str">
        <f>IF(
   T_Channel[[#This Row],[ProviderName]]="",
   "",
   COUNTIF($N$12:$N$9982,T_Channel[[#This Row],[ProviderName]])
)</f>
        <v/>
      </c>
      <c r="P820" s="26" t="str">
        <f>IF(
   T_Channel[[#This Row],[Check]]&lt;&gt;"OK",
   "",
   IF(
      T_Channel[[#This Row],[Query]]="",
      "Empty",
      "Defined"
   )
)</f>
        <v/>
      </c>
      <c r="Q820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820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820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82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820" s="20" t="str">
        <f>IF(
   T_Channel[[#This Row],[Check]]&lt;&gt;"OK",
   "",
   T_Channel[[#This Row],[ChannelSymbol]] &amp; ".evtx"
)</f>
        <v/>
      </c>
      <c r="V820" s="20" t="str">
        <f>IF(
   T_Channel[[#This Row],[Check]]&lt;&gt;"OK",
   "",
   T_Channel[[#This Row],[LogFolder]] &amp; "\" &amp; T_Channel[[#This Row],[LogFile]]
)</f>
        <v/>
      </c>
      <c r="W820" s="20" t="str">
        <f>IF(
   T_Channel[[#This Row],[Safekeeping of logs]]="",
   "",
   VLOOKUP(T_Channel[[#This Row],[Safekeeping of logs]],T_List_LogMode[],2,FALSE)
)</f>
        <v/>
      </c>
      <c r="X820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821" spans="2:24" x14ac:dyDescent="0.45">
      <c r="B821" s="7"/>
      <c r="C821" s="7"/>
      <c r="D821" s="7"/>
      <c r="E821" s="7"/>
      <c r="F821" s="6"/>
      <c r="G821" s="6"/>
      <c r="H821" s="6"/>
      <c r="I821" s="6"/>
      <c r="J821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821" s="21"/>
      <c r="L821" s="7"/>
      <c r="M821" s="41"/>
      <c r="N821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821" s="26" t="str">
        <f>IF(
   T_Channel[[#This Row],[ProviderName]]="",
   "",
   COUNTIF($N$12:$N$9982,T_Channel[[#This Row],[ProviderName]])
)</f>
        <v/>
      </c>
      <c r="P821" s="26" t="str">
        <f>IF(
   T_Channel[[#This Row],[Check]]&lt;&gt;"OK",
   "",
   IF(
      T_Channel[[#This Row],[Query]]="",
      "Empty",
      "Defined"
   )
)</f>
        <v/>
      </c>
      <c r="Q821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821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821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82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821" s="20" t="str">
        <f>IF(
   T_Channel[[#This Row],[Check]]&lt;&gt;"OK",
   "",
   T_Channel[[#This Row],[ChannelSymbol]] &amp; ".evtx"
)</f>
        <v/>
      </c>
      <c r="V821" s="20" t="str">
        <f>IF(
   T_Channel[[#This Row],[Check]]&lt;&gt;"OK",
   "",
   T_Channel[[#This Row],[LogFolder]] &amp; "\" &amp; T_Channel[[#This Row],[LogFile]]
)</f>
        <v/>
      </c>
      <c r="W821" s="20" t="str">
        <f>IF(
   T_Channel[[#This Row],[Safekeeping of logs]]="",
   "",
   VLOOKUP(T_Channel[[#This Row],[Safekeeping of logs]],T_List_LogMode[],2,FALSE)
)</f>
        <v/>
      </c>
      <c r="X821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822" spans="2:24" x14ac:dyDescent="0.45">
      <c r="B822" s="7"/>
      <c r="C822" s="7"/>
      <c r="D822" s="7"/>
      <c r="E822" s="7"/>
      <c r="F822" s="6"/>
      <c r="G822" s="6"/>
      <c r="H822" s="6"/>
      <c r="I822" s="6"/>
      <c r="J822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822" s="21"/>
      <c r="L822" s="7"/>
      <c r="M822" s="41"/>
      <c r="N822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822" s="26" t="str">
        <f>IF(
   T_Channel[[#This Row],[ProviderName]]="",
   "",
   COUNTIF($N$12:$N$9982,T_Channel[[#This Row],[ProviderName]])
)</f>
        <v/>
      </c>
      <c r="P822" s="26" t="str">
        <f>IF(
   T_Channel[[#This Row],[Check]]&lt;&gt;"OK",
   "",
   IF(
      T_Channel[[#This Row],[Query]]="",
      "Empty",
      "Defined"
   )
)</f>
        <v/>
      </c>
      <c r="Q822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822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822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82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822" s="20" t="str">
        <f>IF(
   T_Channel[[#This Row],[Check]]&lt;&gt;"OK",
   "",
   T_Channel[[#This Row],[ChannelSymbol]] &amp; ".evtx"
)</f>
        <v/>
      </c>
      <c r="V822" s="20" t="str">
        <f>IF(
   T_Channel[[#This Row],[Check]]&lt;&gt;"OK",
   "",
   T_Channel[[#This Row],[LogFolder]] &amp; "\" &amp; T_Channel[[#This Row],[LogFile]]
)</f>
        <v/>
      </c>
      <c r="W822" s="20" t="str">
        <f>IF(
   T_Channel[[#This Row],[Safekeeping of logs]]="",
   "",
   VLOOKUP(T_Channel[[#This Row],[Safekeeping of logs]],T_List_LogMode[],2,FALSE)
)</f>
        <v/>
      </c>
      <c r="X822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823" spans="2:24" x14ac:dyDescent="0.45">
      <c r="B823" s="7"/>
      <c r="C823" s="7"/>
      <c r="D823" s="7"/>
      <c r="E823" s="7"/>
      <c r="F823" s="6"/>
      <c r="G823" s="6"/>
      <c r="H823" s="6"/>
      <c r="I823" s="6"/>
      <c r="J823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823" s="21"/>
      <c r="L823" s="7"/>
      <c r="M823" s="41"/>
      <c r="N823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823" s="26" t="str">
        <f>IF(
   T_Channel[[#This Row],[ProviderName]]="",
   "",
   COUNTIF($N$12:$N$9982,T_Channel[[#This Row],[ProviderName]])
)</f>
        <v/>
      </c>
      <c r="P823" s="26" t="str">
        <f>IF(
   T_Channel[[#This Row],[Check]]&lt;&gt;"OK",
   "",
   IF(
      T_Channel[[#This Row],[Query]]="",
      "Empty",
      "Defined"
   )
)</f>
        <v/>
      </c>
      <c r="Q823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823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823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82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823" s="20" t="str">
        <f>IF(
   T_Channel[[#This Row],[Check]]&lt;&gt;"OK",
   "",
   T_Channel[[#This Row],[ChannelSymbol]] &amp; ".evtx"
)</f>
        <v/>
      </c>
      <c r="V823" s="20" t="str">
        <f>IF(
   T_Channel[[#This Row],[Check]]&lt;&gt;"OK",
   "",
   T_Channel[[#This Row],[LogFolder]] &amp; "\" &amp; T_Channel[[#This Row],[LogFile]]
)</f>
        <v/>
      </c>
      <c r="W823" s="20" t="str">
        <f>IF(
   T_Channel[[#This Row],[Safekeeping of logs]]="",
   "",
   VLOOKUP(T_Channel[[#This Row],[Safekeeping of logs]],T_List_LogMode[],2,FALSE)
)</f>
        <v/>
      </c>
      <c r="X823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824" spans="2:24" x14ac:dyDescent="0.45">
      <c r="B824" s="7"/>
      <c r="C824" s="7"/>
      <c r="D824" s="7"/>
      <c r="E824" s="7"/>
      <c r="F824" s="6"/>
      <c r="G824" s="6"/>
      <c r="H824" s="6"/>
      <c r="I824" s="6"/>
      <c r="J824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824" s="21"/>
      <c r="L824" s="7"/>
      <c r="M824" s="41"/>
      <c r="N824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824" s="26" t="str">
        <f>IF(
   T_Channel[[#This Row],[ProviderName]]="",
   "",
   COUNTIF($N$12:$N$9982,T_Channel[[#This Row],[ProviderName]])
)</f>
        <v/>
      </c>
      <c r="P824" s="26" t="str">
        <f>IF(
   T_Channel[[#This Row],[Check]]&lt;&gt;"OK",
   "",
   IF(
      T_Channel[[#This Row],[Query]]="",
      "Empty",
      "Defined"
   )
)</f>
        <v/>
      </c>
      <c r="Q824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824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824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82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824" s="20" t="str">
        <f>IF(
   T_Channel[[#This Row],[Check]]&lt;&gt;"OK",
   "",
   T_Channel[[#This Row],[ChannelSymbol]] &amp; ".evtx"
)</f>
        <v/>
      </c>
      <c r="V824" s="20" t="str">
        <f>IF(
   T_Channel[[#This Row],[Check]]&lt;&gt;"OK",
   "",
   T_Channel[[#This Row],[LogFolder]] &amp; "\" &amp; T_Channel[[#This Row],[LogFile]]
)</f>
        <v/>
      </c>
      <c r="W824" s="20" t="str">
        <f>IF(
   T_Channel[[#This Row],[Safekeeping of logs]]="",
   "",
   VLOOKUP(T_Channel[[#This Row],[Safekeeping of logs]],T_List_LogMode[],2,FALSE)
)</f>
        <v/>
      </c>
      <c r="X824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825" spans="2:24" x14ac:dyDescent="0.45">
      <c r="B825" s="7"/>
      <c r="C825" s="7"/>
      <c r="D825" s="7"/>
      <c r="E825" s="7"/>
      <c r="F825" s="6"/>
      <c r="G825" s="6"/>
      <c r="H825" s="6"/>
      <c r="I825" s="6"/>
      <c r="J825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825" s="21"/>
      <c r="L825" s="7"/>
      <c r="M825" s="41"/>
      <c r="N825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825" s="26" t="str">
        <f>IF(
   T_Channel[[#This Row],[ProviderName]]="",
   "",
   COUNTIF($N$12:$N$9982,T_Channel[[#This Row],[ProviderName]])
)</f>
        <v/>
      </c>
      <c r="P825" s="26" t="str">
        <f>IF(
   T_Channel[[#This Row],[Check]]&lt;&gt;"OK",
   "",
   IF(
      T_Channel[[#This Row],[Query]]="",
      "Empty",
      "Defined"
   )
)</f>
        <v/>
      </c>
      <c r="Q825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825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825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82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825" s="20" t="str">
        <f>IF(
   T_Channel[[#This Row],[Check]]&lt;&gt;"OK",
   "",
   T_Channel[[#This Row],[ChannelSymbol]] &amp; ".evtx"
)</f>
        <v/>
      </c>
      <c r="V825" s="20" t="str">
        <f>IF(
   T_Channel[[#This Row],[Check]]&lt;&gt;"OK",
   "",
   T_Channel[[#This Row],[LogFolder]] &amp; "\" &amp; T_Channel[[#This Row],[LogFile]]
)</f>
        <v/>
      </c>
      <c r="W825" s="20" t="str">
        <f>IF(
   T_Channel[[#This Row],[Safekeeping of logs]]="",
   "",
   VLOOKUP(T_Channel[[#This Row],[Safekeeping of logs]],T_List_LogMode[],2,FALSE)
)</f>
        <v/>
      </c>
      <c r="X825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826" spans="2:24" x14ac:dyDescent="0.45">
      <c r="B826" s="7"/>
      <c r="C826" s="7"/>
      <c r="D826" s="7"/>
      <c r="E826" s="7"/>
      <c r="F826" s="6"/>
      <c r="G826" s="6"/>
      <c r="H826" s="6"/>
      <c r="I826" s="6"/>
      <c r="J826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826" s="21"/>
      <c r="L826" s="7"/>
      <c r="M826" s="41"/>
      <c r="N826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826" s="26" t="str">
        <f>IF(
   T_Channel[[#This Row],[ProviderName]]="",
   "",
   COUNTIF($N$12:$N$9982,T_Channel[[#This Row],[ProviderName]])
)</f>
        <v/>
      </c>
      <c r="P826" s="26" t="str">
        <f>IF(
   T_Channel[[#This Row],[Check]]&lt;&gt;"OK",
   "",
   IF(
      T_Channel[[#This Row],[Query]]="",
      "Empty",
      "Defined"
   )
)</f>
        <v/>
      </c>
      <c r="Q826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826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826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82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826" s="20" t="str">
        <f>IF(
   T_Channel[[#This Row],[Check]]&lt;&gt;"OK",
   "",
   T_Channel[[#This Row],[ChannelSymbol]] &amp; ".evtx"
)</f>
        <v/>
      </c>
      <c r="V826" s="20" t="str">
        <f>IF(
   T_Channel[[#This Row],[Check]]&lt;&gt;"OK",
   "",
   T_Channel[[#This Row],[LogFolder]] &amp; "\" &amp; T_Channel[[#This Row],[LogFile]]
)</f>
        <v/>
      </c>
      <c r="W826" s="20" t="str">
        <f>IF(
   T_Channel[[#This Row],[Safekeeping of logs]]="",
   "",
   VLOOKUP(T_Channel[[#This Row],[Safekeeping of logs]],T_List_LogMode[],2,FALSE)
)</f>
        <v/>
      </c>
      <c r="X826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827" spans="2:24" x14ac:dyDescent="0.45">
      <c r="B827" s="7"/>
      <c r="C827" s="7"/>
      <c r="D827" s="7"/>
      <c r="E827" s="7"/>
      <c r="F827" s="6"/>
      <c r="G827" s="6"/>
      <c r="H827" s="6"/>
      <c r="I827" s="6"/>
      <c r="J827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827" s="21"/>
      <c r="L827" s="7"/>
      <c r="M827" s="41"/>
      <c r="N827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827" s="26" t="str">
        <f>IF(
   T_Channel[[#This Row],[ProviderName]]="",
   "",
   COUNTIF($N$12:$N$9982,T_Channel[[#This Row],[ProviderName]])
)</f>
        <v/>
      </c>
      <c r="P827" s="26" t="str">
        <f>IF(
   T_Channel[[#This Row],[Check]]&lt;&gt;"OK",
   "",
   IF(
      T_Channel[[#This Row],[Query]]="",
      "Empty",
      "Defined"
   )
)</f>
        <v/>
      </c>
      <c r="Q827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827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827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82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827" s="20" t="str">
        <f>IF(
   T_Channel[[#This Row],[Check]]&lt;&gt;"OK",
   "",
   T_Channel[[#This Row],[ChannelSymbol]] &amp; ".evtx"
)</f>
        <v/>
      </c>
      <c r="V827" s="20" t="str">
        <f>IF(
   T_Channel[[#This Row],[Check]]&lt;&gt;"OK",
   "",
   T_Channel[[#This Row],[LogFolder]] &amp; "\" &amp; T_Channel[[#This Row],[LogFile]]
)</f>
        <v/>
      </c>
      <c r="W827" s="20" t="str">
        <f>IF(
   T_Channel[[#This Row],[Safekeeping of logs]]="",
   "",
   VLOOKUP(T_Channel[[#This Row],[Safekeeping of logs]],T_List_LogMode[],2,FALSE)
)</f>
        <v/>
      </c>
      <c r="X827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828" spans="2:24" x14ac:dyDescent="0.45">
      <c r="B828" s="7"/>
      <c r="C828" s="7"/>
      <c r="D828" s="7"/>
      <c r="E828" s="7"/>
      <c r="F828" s="6"/>
      <c r="G828" s="6"/>
      <c r="H828" s="6"/>
      <c r="I828" s="6"/>
      <c r="J828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828" s="21"/>
      <c r="L828" s="7"/>
      <c r="M828" s="41"/>
      <c r="N828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828" s="26" t="str">
        <f>IF(
   T_Channel[[#This Row],[ProviderName]]="",
   "",
   COUNTIF($N$12:$N$9982,T_Channel[[#This Row],[ProviderName]])
)</f>
        <v/>
      </c>
      <c r="P828" s="26" t="str">
        <f>IF(
   T_Channel[[#This Row],[Check]]&lt;&gt;"OK",
   "",
   IF(
      T_Channel[[#This Row],[Query]]="",
      "Empty",
      "Defined"
   )
)</f>
        <v/>
      </c>
      <c r="Q828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828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828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82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828" s="20" t="str">
        <f>IF(
   T_Channel[[#This Row],[Check]]&lt;&gt;"OK",
   "",
   T_Channel[[#This Row],[ChannelSymbol]] &amp; ".evtx"
)</f>
        <v/>
      </c>
      <c r="V828" s="20" t="str">
        <f>IF(
   T_Channel[[#This Row],[Check]]&lt;&gt;"OK",
   "",
   T_Channel[[#This Row],[LogFolder]] &amp; "\" &amp; T_Channel[[#This Row],[LogFile]]
)</f>
        <v/>
      </c>
      <c r="W828" s="20" t="str">
        <f>IF(
   T_Channel[[#This Row],[Safekeeping of logs]]="",
   "",
   VLOOKUP(T_Channel[[#This Row],[Safekeeping of logs]],T_List_LogMode[],2,FALSE)
)</f>
        <v/>
      </c>
      <c r="X828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829" spans="2:24" x14ac:dyDescent="0.45">
      <c r="B829" s="7"/>
      <c r="C829" s="7"/>
      <c r="D829" s="7"/>
      <c r="E829" s="7"/>
      <c r="F829" s="6"/>
      <c r="G829" s="6"/>
      <c r="H829" s="6"/>
      <c r="I829" s="6"/>
      <c r="J829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829" s="21"/>
      <c r="L829" s="7"/>
      <c r="M829" s="41"/>
      <c r="N829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829" s="26" t="str">
        <f>IF(
   T_Channel[[#This Row],[ProviderName]]="",
   "",
   COUNTIF($N$12:$N$9982,T_Channel[[#This Row],[ProviderName]])
)</f>
        <v/>
      </c>
      <c r="P829" s="26" t="str">
        <f>IF(
   T_Channel[[#This Row],[Check]]&lt;&gt;"OK",
   "",
   IF(
      T_Channel[[#This Row],[Query]]="",
      "Empty",
      "Defined"
   )
)</f>
        <v/>
      </c>
      <c r="Q829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829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829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82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829" s="20" t="str">
        <f>IF(
   T_Channel[[#This Row],[Check]]&lt;&gt;"OK",
   "",
   T_Channel[[#This Row],[ChannelSymbol]] &amp; ".evtx"
)</f>
        <v/>
      </c>
      <c r="V829" s="20" t="str">
        <f>IF(
   T_Channel[[#This Row],[Check]]&lt;&gt;"OK",
   "",
   T_Channel[[#This Row],[LogFolder]] &amp; "\" &amp; T_Channel[[#This Row],[LogFile]]
)</f>
        <v/>
      </c>
      <c r="W829" s="20" t="str">
        <f>IF(
   T_Channel[[#This Row],[Safekeeping of logs]]="",
   "",
   VLOOKUP(T_Channel[[#This Row],[Safekeeping of logs]],T_List_LogMode[],2,FALSE)
)</f>
        <v/>
      </c>
      <c r="X829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830" spans="2:24" x14ac:dyDescent="0.45">
      <c r="B830" s="7"/>
      <c r="C830" s="7"/>
      <c r="D830" s="7"/>
      <c r="E830" s="7"/>
      <c r="F830" s="6"/>
      <c r="G830" s="6"/>
      <c r="H830" s="6"/>
      <c r="I830" s="6"/>
      <c r="J830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830" s="21"/>
      <c r="L830" s="7"/>
      <c r="M830" s="41"/>
      <c r="N830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830" s="26" t="str">
        <f>IF(
   T_Channel[[#This Row],[ProviderName]]="",
   "",
   COUNTIF($N$12:$N$9982,T_Channel[[#This Row],[ProviderName]])
)</f>
        <v/>
      </c>
      <c r="P830" s="26" t="str">
        <f>IF(
   T_Channel[[#This Row],[Check]]&lt;&gt;"OK",
   "",
   IF(
      T_Channel[[#This Row],[Query]]="",
      "Empty",
      "Defined"
   )
)</f>
        <v/>
      </c>
      <c r="Q830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830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830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83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830" s="20" t="str">
        <f>IF(
   T_Channel[[#This Row],[Check]]&lt;&gt;"OK",
   "",
   T_Channel[[#This Row],[ChannelSymbol]] &amp; ".evtx"
)</f>
        <v/>
      </c>
      <c r="V830" s="20" t="str">
        <f>IF(
   T_Channel[[#This Row],[Check]]&lt;&gt;"OK",
   "",
   T_Channel[[#This Row],[LogFolder]] &amp; "\" &amp; T_Channel[[#This Row],[LogFile]]
)</f>
        <v/>
      </c>
      <c r="W830" s="20" t="str">
        <f>IF(
   T_Channel[[#This Row],[Safekeeping of logs]]="",
   "",
   VLOOKUP(T_Channel[[#This Row],[Safekeeping of logs]],T_List_LogMode[],2,FALSE)
)</f>
        <v/>
      </c>
      <c r="X830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831" spans="2:24" x14ac:dyDescent="0.45">
      <c r="B831" s="7"/>
      <c r="C831" s="7"/>
      <c r="D831" s="7"/>
      <c r="E831" s="7"/>
      <c r="F831" s="6"/>
      <c r="G831" s="6"/>
      <c r="H831" s="6"/>
      <c r="I831" s="6"/>
      <c r="J831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831" s="21"/>
      <c r="L831" s="7"/>
      <c r="M831" s="41"/>
      <c r="N831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831" s="26" t="str">
        <f>IF(
   T_Channel[[#This Row],[ProviderName]]="",
   "",
   COUNTIF($N$12:$N$9982,T_Channel[[#This Row],[ProviderName]])
)</f>
        <v/>
      </c>
      <c r="P831" s="26" t="str">
        <f>IF(
   T_Channel[[#This Row],[Check]]&lt;&gt;"OK",
   "",
   IF(
      T_Channel[[#This Row],[Query]]="",
      "Empty",
      "Defined"
   )
)</f>
        <v/>
      </c>
      <c r="Q831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831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831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83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831" s="20" t="str">
        <f>IF(
   T_Channel[[#This Row],[Check]]&lt;&gt;"OK",
   "",
   T_Channel[[#This Row],[ChannelSymbol]] &amp; ".evtx"
)</f>
        <v/>
      </c>
      <c r="V831" s="20" t="str">
        <f>IF(
   T_Channel[[#This Row],[Check]]&lt;&gt;"OK",
   "",
   T_Channel[[#This Row],[LogFolder]] &amp; "\" &amp; T_Channel[[#This Row],[LogFile]]
)</f>
        <v/>
      </c>
      <c r="W831" s="20" t="str">
        <f>IF(
   T_Channel[[#This Row],[Safekeeping of logs]]="",
   "",
   VLOOKUP(T_Channel[[#This Row],[Safekeeping of logs]],T_List_LogMode[],2,FALSE)
)</f>
        <v/>
      </c>
      <c r="X831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832" spans="2:24" x14ac:dyDescent="0.45">
      <c r="B832" s="7"/>
      <c r="C832" s="7"/>
      <c r="D832" s="7"/>
      <c r="E832" s="7"/>
      <c r="F832" s="6"/>
      <c r="G832" s="6"/>
      <c r="H832" s="6"/>
      <c r="I832" s="6"/>
      <c r="J832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832" s="21"/>
      <c r="L832" s="7"/>
      <c r="M832" s="41"/>
      <c r="N832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832" s="26" t="str">
        <f>IF(
   T_Channel[[#This Row],[ProviderName]]="",
   "",
   COUNTIF($N$12:$N$9982,T_Channel[[#This Row],[ProviderName]])
)</f>
        <v/>
      </c>
      <c r="P832" s="26" t="str">
        <f>IF(
   T_Channel[[#This Row],[Check]]&lt;&gt;"OK",
   "",
   IF(
      T_Channel[[#This Row],[Query]]="",
      "Empty",
      "Defined"
   )
)</f>
        <v/>
      </c>
      <c r="Q832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832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832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83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832" s="20" t="str">
        <f>IF(
   T_Channel[[#This Row],[Check]]&lt;&gt;"OK",
   "",
   T_Channel[[#This Row],[ChannelSymbol]] &amp; ".evtx"
)</f>
        <v/>
      </c>
      <c r="V832" s="20" t="str">
        <f>IF(
   T_Channel[[#This Row],[Check]]&lt;&gt;"OK",
   "",
   T_Channel[[#This Row],[LogFolder]] &amp; "\" &amp; T_Channel[[#This Row],[LogFile]]
)</f>
        <v/>
      </c>
      <c r="W832" s="20" t="str">
        <f>IF(
   T_Channel[[#This Row],[Safekeeping of logs]]="",
   "",
   VLOOKUP(T_Channel[[#This Row],[Safekeeping of logs]],T_List_LogMode[],2,FALSE)
)</f>
        <v/>
      </c>
      <c r="X832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833" spans="2:24" x14ac:dyDescent="0.45">
      <c r="B833" s="7"/>
      <c r="C833" s="7"/>
      <c r="D833" s="7"/>
      <c r="E833" s="7"/>
      <c r="F833" s="6"/>
      <c r="G833" s="6"/>
      <c r="H833" s="6"/>
      <c r="I833" s="6"/>
      <c r="J833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833" s="21"/>
      <c r="L833" s="7"/>
      <c r="M833" s="41"/>
      <c r="N833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833" s="26" t="str">
        <f>IF(
   T_Channel[[#This Row],[ProviderName]]="",
   "",
   COUNTIF($N$12:$N$9982,T_Channel[[#This Row],[ProviderName]])
)</f>
        <v/>
      </c>
      <c r="P833" s="26" t="str">
        <f>IF(
   T_Channel[[#This Row],[Check]]&lt;&gt;"OK",
   "",
   IF(
      T_Channel[[#This Row],[Query]]="",
      "Empty",
      "Defined"
   )
)</f>
        <v/>
      </c>
      <c r="Q833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833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833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83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833" s="20" t="str">
        <f>IF(
   T_Channel[[#This Row],[Check]]&lt;&gt;"OK",
   "",
   T_Channel[[#This Row],[ChannelSymbol]] &amp; ".evtx"
)</f>
        <v/>
      </c>
      <c r="V833" s="20" t="str">
        <f>IF(
   T_Channel[[#This Row],[Check]]&lt;&gt;"OK",
   "",
   T_Channel[[#This Row],[LogFolder]] &amp; "\" &amp; T_Channel[[#This Row],[LogFile]]
)</f>
        <v/>
      </c>
      <c r="W833" s="20" t="str">
        <f>IF(
   T_Channel[[#This Row],[Safekeeping of logs]]="",
   "",
   VLOOKUP(T_Channel[[#This Row],[Safekeeping of logs]],T_List_LogMode[],2,FALSE)
)</f>
        <v/>
      </c>
      <c r="X833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834" spans="2:24" x14ac:dyDescent="0.45">
      <c r="B834" s="7"/>
      <c r="C834" s="7"/>
      <c r="D834" s="7"/>
      <c r="E834" s="7"/>
      <c r="F834" s="6"/>
      <c r="G834" s="6"/>
      <c r="H834" s="6"/>
      <c r="I834" s="6"/>
      <c r="J834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834" s="21"/>
      <c r="L834" s="7"/>
      <c r="M834" s="41"/>
      <c r="N834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834" s="26" t="str">
        <f>IF(
   T_Channel[[#This Row],[ProviderName]]="",
   "",
   COUNTIF($N$12:$N$9982,T_Channel[[#This Row],[ProviderName]])
)</f>
        <v/>
      </c>
      <c r="P834" s="26" t="str">
        <f>IF(
   T_Channel[[#This Row],[Check]]&lt;&gt;"OK",
   "",
   IF(
      T_Channel[[#This Row],[Query]]="",
      "Empty",
      "Defined"
   )
)</f>
        <v/>
      </c>
      <c r="Q834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834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834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83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834" s="20" t="str">
        <f>IF(
   T_Channel[[#This Row],[Check]]&lt;&gt;"OK",
   "",
   T_Channel[[#This Row],[ChannelSymbol]] &amp; ".evtx"
)</f>
        <v/>
      </c>
      <c r="V834" s="20" t="str">
        <f>IF(
   T_Channel[[#This Row],[Check]]&lt;&gt;"OK",
   "",
   T_Channel[[#This Row],[LogFolder]] &amp; "\" &amp; T_Channel[[#This Row],[LogFile]]
)</f>
        <v/>
      </c>
      <c r="W834" s="20" t="str">
        <f>IF(
   T_Channel[[#This Row],[Safekeeping of logs]]="",
   "",
   VLOOKUP(T_Channel[[#This Row],[Safekeeping of logs]],T_List_LogMode[],2,FALSE)
)</f>
        <v/>
      </c>
      <c r="X834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835" spans="2:24" x14ac:dyDescent="0.45">
      <c r="B835" s="7"/>
      <c r="C835" s="7"/>
      <c r="D835" s="7"/>
      <c r="E835" s="7"/>
      <c r="F835" s="6"/>
      <c r="G835" s="6"/>
      <c r="H835" s="6"/>
      <c r="I835" s="6"/>
      <c r="J835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835" s="21"/>
      <c r="L835" s="7"/>
      <c r="M835" s="41"/>
      <c r="N835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835" s="26" t="str">
        <f>IF(
   T_Channel[[#This Row],[ProviderName]]="",
   "",
   COUNTIF($N$12:$N$9982,T_Channel[[#This Row],[ProviderName]])
)</f>
        <v/>
      </c>
      <c r="P835" s="26" t="str">
        <f>IF(
   T_Channel[[#This Row],[Check]]&lt;&gt;"OK",
   "",
   IF(
      T_Channel[[#This Row],[Query]]="",
      "Empty",
      "Defined"
   )
)</f>
        <v/>
      </c>
      <c r="Q835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835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835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83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835" s="20" t="str">
        <f>IF(
   T_Channel[[#This Row],[Check]]&lt;&gt;"OK",
   "",
   T_Channel[[#This Row],[ChannelSymbol]] &amp; ".evtx"
)</f>
        <v/>
      </c>
      <c r="V835" s="20" t="str">
        <f>IF(
   T_Channel[[#This Row],[Check]]&lt;&gt;"OK",
   "",
   T_Channel[[#This Row],[LogFolder]] &amp; "\" &amp; T_Channel[[#This Row],[LogFile]]
)</f>
        <v/>
      </c>
      <c r="W835" s="20" t="str">
        <f>IF(
   T_Channel[[#This Row],[Safekeeping of logs]]="",
   "",
   VLOOKUP(T_Channel[[#This Row],[Safekeeping of logs]],T_List_LogMode[],2,FALSE)
)</f>
        <v/>
      </c>
      <c r="X835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836" spans="2:24" x14ac:dyDescent="0.45">
      <c r="B836" s="7"/>
      <c r="C836" s="7"/>
      <c r="D836" s="7"/>
      <c r="E836" s="7"/>
      <c r="F836" s="6"/>
      <c r="G836" s="6"/>
      <c r="H836" s="6"/>
      <c r="I836" s="6"/>
      <c r="J836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836" s="21"/>
      <c r="L836" s="7"/>
      <c r="M836" s="41"/>
      <c r="N836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836" s="26" t="str">
        <f>IF(
   T_Channel[[#This Row],[ProviderName]]="",
   "",
   COUNTIF($N$12:$N$9982,T_Channel[[#This Row],[ProviderName]])
)</f>
        <v/>
      </c>
      <c r="P836" s="26" t="str">
        <f>IF(
   T_Channel[[#This Row],[Check]]&lt;&gt;"OK",
   "",
   IF(
      T_Channel[[#This Row],[Query]]="",
      "Empty",
      "Defined"
   )
)</f>
        <v/>
      </c>
      <c r="Q836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836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836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83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836" s="20" t="str">
        <f>IF(
   T_Channel[[#This Row],[Check]]&lt;&gt;"OK",
   "",
   T_Channel[[#This Row],[ChannelSymbol]] &amp; ".evtx"
)</f>
        <v/>
      </c>
      <c r="V836" s="20" t="str">
        <f>IF(
   T_Channel[[#This Row],[Check]]&lt;&gt;"OK",
   "",
   T_Channel[[#This Row],[LogFolder]] &amp; "\" &amp; T_Channel[[#This Row],[LogFile]]
)</f>
        <v/>
      </c>
      <c r="W836" s="20" t="str">
        <f>IF(
   T_Channel[[#This Row],[Safekeeping of logs]]="",
   "",
   VLOOKUP(T_Channel[[#This Row],[Safekeeping of logs]],T_List_LogMode[],2,FALSE)
)</f>
        <v/>
      </c>
      <c r="X836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837" spans="2:24" x14ac:dyDescent="0.45">
      <c r="B837" s="7"/>
      <c r="C837" s="7"/>
      <c r="D837" s="7"/>
      <c r="E837" s="7"/>
      <c r="F837" s="6"/>
      <c r="G837" s="6"/>
      <c r="H837" s="6"/>
      <c r="I837" s="6"/>
      <c r="J837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837" s="21"/>
      <c r="L837" s="7"/>
      <c r="M837" s="41"/>
      <c r="N837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837" s="26" t="str">
        <f>IF(
   T_Channel[[#This Row],[ProviderName]]="",
   "",
   COUNTIF($N$12:$N$9982,T_Channel[[#This Row],[ProviderName]])
)</f>
        <v/>
      </c>
      <c r="P837" s="26" t="str">
        <f>IF(
   T_Channel[[#This Row],[Check]]&lt;&gt;"OK",
   "",
   IF(
      T_Channel[[#This Row],[Query]]="",
      "Empty",
      "Defined"
   )
)</f>
        <v/>
      </c>
      <c r="Q837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837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837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83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837" s="20" t="str">
        <f>IF(
   T_Channel[[#This Row],[Check]]&lt;&gt;"OK",
   "",
   T_Channel[[#This Row],[ChannelSymbol]] &amp; ".evtx"
)</f>
        <v/>
      </c>
      <c r="V837" s="20" t="str">
        <f>IF(
   T_Channel[[#This Row],[Check]]&lt;&gt;"OK",
   "",
   T_Channel[[#This Row],[LogFolder]] &amp; "\" &amp; T_Channel[[#This Row],[LogFile]]
)</f>
        <v/>
      </c>
      <c r="W837" s="20" t="str">
        <f>IF(
   T_Channel[[#This Row],[Safekeeping of logs]]="",
   "",
   VLOOKUP(T_Channel[[#This Row],[Safekeeping of logs]],T_List_LogMode[],2,FALSE)
)</f>
        <v/>
      </c>
      <c r="X837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838" spans="2:24" x14ac:dyDescent="0.45">
      <c r="B838" s="7"/>
      <c r="C838" s="7"/>
      <c r="D838" s="7"/>
      <c r="E838" s="7"/>
      <c r="F838" s="6"/>
      <c r="G838" s="6"/>
      <c r="H838" s="6"/>
      <c r="I838" s="6"/>
      <c r="J838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838" s="21"/>
      <c r="L838" s="7"/>
      <c r="M838" s="41"/>
      <c r="N838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838" s="26" t="str">
        <f>IF(
   T_Channel[[#This Row],[ProviderName]]="",
   "",
   COUNTIF($N$12:$N$9982,T_Channel[[#This Row],[ProviderName]])
)</f>
        <v/>
      </c>
      <c r="P838" s="26" t="str">
        <f>IF(
   T_Channel[[#This Row],[Check]]&lt;&gt;"OK",
   "",
   IF(
      T_Channel[[#This Row],[Query]]="",
      "Empty",
      "Defined"
   )
)</f>
        <v/>
      </c>
      <c r="Q838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838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838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83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838" s="20" t="str">
        <f>IF(
   T_Channel[[#This Row],[Check]]&lt;&gt;"OK",
   "",
   T_Channel[[#This Row],[ChannelSymbol]] &amp; ".evtx"
)</f>
        <v/>
      </c>
      <c r="V838" s="20" t="str">
        <f>IF(
   T_Channel[[#This Row],[Check]]&lt;&gt;"OK",
   "",
   T_Channel[[#This Row],[LogFolder]] &amp; "\" &amp; T_Channel[[#This Row],[LogFile]]
)</f>
        <v/>
      </c>
      <c r="W838" s="20" t="str">
        <f>IF(
   T_Channel[[#This Row],[Safekeeping of logs]]="",
   "",
   VLOOKUP(T_Channel[[#This Row],[Safekeeping of logs]],T_List_LogMode[],2,FALSE)
)</f>
        <v/>
      </c>
      <c r="X838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839" spans="2:24" x14ac:dyDescent="0.45">
      <c r="B839" s="7"/>
      <c r="C839" s="7"/>
      <c r="D839" s="7"/>
      <c r="E839" s="7"/>
      <c r="F839" s="6"/>
      <c r="G839" s="6"/>
      <c r="H839" s="6"/>
      <c r="I839" s="6"/>
      <c r="J839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839" s="21"/>
      <c r="L839" s="7"/>
      <c r="M839" s="41"/>
      <c r="N839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839" s="26" t="str">
        <f>IF(
   T_Channel[[#This Row],[ProviderName]]="",
   "",
   COUNTIF($N$12:$N$9982,T_Channel[[#This Row],[ProviderName]])
)</f>
        <v/>
      </c>
      <c r="P839" s="26" t="str">
        <f>IF(
   T_Channel[[#This Row],[Check]]&lt;&gt;"OK",
   "",
   IF(
      T_Channel[[#This Row],[Query]]="",
      "Empty",
      "Defined"
   )
)</f>
        <v/>
      </c>
      <c r="Q839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839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839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83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839" s="20" t="str">
        <f>IF(
   T_Channel[[#This Row],[Check]]&lt;&gt;"OK",
   "",
   T_Channel[[#This Row],[ChannelSymbol]] &amp; ".evtx"
)</f>
        <v/>
      </c>
      <c r="V839" s="20" t="str">
        <f>IF(
   T_Channel[[#This Row],[Check]]&lt;&gt;"OK",
   "",
   T_Channel[[#This Row],[LogFolder]] &amp; "\" &amp; T_Channel[[#This Row],[LogFile]]
)</f>
        <v/>
      </c>
      <c r="W839" s="20" t="str">
        <f>IF(
   T_Channel[[#This Row],[Safekeeping of logs]]="",
   "",
   VLOOKUP(T_Channel[[#This Row],[Safekeeping of logs]],T_List_LogMode[],2,FALSE)
)</f>
        <v/>
      </c>
      <c r="X839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840" spans="2:24" x14ac:dyDescent="0.45">
      <c r="B840" s="7"/>
      <c r="C840" s="7"/>
      <c r="D840" s="7"/>
      <c r="E840" s="7"/>
      <c r="F840" s="6"/>
      <c r="G840" s="6"/>
      <c r="H840" s="6"/>
      <c r="I840" s="6"/>
      <c r="J840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840" s="21"/>
      <c r="L840" s="7"/>
      <c r="M840" s="41"/>
      <c r="N840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840" s="26" t="str">
        <f>IF(
   T_Channel[[#This Row],[ProviderName]]="",
   "",
   COUNTIF($N$12:$N$9982,T_Channel[[#This Row],[ProviderName]])
)</f>
        <v/>
      </c>
      <c r="P840" s="26" t="str">
        <f>IF(
   T_Channel[[#This Row],[Check]]&lt;&gt;"OK",
   "",
   IF(
      T_Channel[[#This Row],[Query]]="",
      "Empty",
      "Defined"
   )
)</f>
        <v/>
      </c>
      <c r="Q840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840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840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84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840" s="20" t="str">
        <f>IF(
   T_Channel[[#This Row],[Check]]&lt;&gt;"OK",
   "",
   T_Channel[[#This Row],[ChannelSymbol]] &amp; ".evtx"
)</f>
        <v/>
      </c>
      <c r="V840" s="20" t="str">
        <f>IF(
   T_Channel[[#This Row],[Check]]&lt;&gt;"OK",
   "",
   T_Channel[[#This Row],[LogFolder]] &amp; "\" &amp; T_Channel[[#This Row],[LogFile]]
)</f>
        <v/>
      </c>
      <c r="W840" s="20" t="str">
        <f>IF(
   T_Channel[[#This Row],[Safekeeping of logs]]="",
   "",
   VLOOKUP(T_Channel[[#This Row],[Safekeeping of logs]],T_List_LogMode[],2,FALSE)
)</f>
        <v/>
      </c>
      <c r="X840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841" spans="2:24" x14ac:dyDescent="0.45">
      <c r="B841" s="7"/>
      <c r="C841" s="7"/>
      <c r="D841" s="7"/>
      <c r="E841" s="7"/>
      <c r="F841" s="6"/>
      <c r="G841" s="6"/>
      <c r="H841" s="6"/>
      <c r="I841" s="6"/>
      <c r="J841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841" s="21"/>
      <c r="L841" s="7"/>
      <c r="M841" s="41"/>
      <c r="N841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841" s="26" t="str">
        <f>IF(
   T_Channel[[#This Row],[ProviderName]]="",
   "",
   COUNTIF($N$12:$N$9982,T_Channel[[#This Row],[ProviderName]])
)</f>
        <v/>
      </c>
      <c r="P841" s="26" t="str">
        <f>IF(
   T_Channel[[#This Row],[Check]]&lt;&gt;"OK",
   "",
   IF(
      T_Channel[[#This Row],[Query]]="",
      "Empty",
      "Defined"
   )
)</f>
        <v/>
      </c>
      <c r="Q841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841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841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84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841" s="20" t="str">
        <f>IF(
   T_Channel[[#This Row],[Check]]&lt;&gt;"OK",
   "",
   T_Channel[[#This Row],[ChannelSymbol]] &amp; ".evtx"
)</f>
        <v/>
      </c>
      <c r="V841" s="20" t="str">
        <f>IF(
   T_Channel[[#This Row],[Check]]&lt;&gt;"OK",
   "",
   T_Channel[[#This Row],[LogFolder]] &amp; "\" &amp; T_Channel[[#This Row],[LogFile]]
)</f>
        <v/>
      </c>
      <c r="W841" s="20" t="str">
        <f>IF(
   T_Channel[[#This Row],[Safekeeping of logs]]="",
   "",
   VLOOKUP(T_Channel[[#This Row],[Safekeeping of logs]],T_List_LogMode[],2,FALSE)
)</f>
        <v/>
      </c>
      <c r="X841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842" spans="2:24" x14ac:dyDescent="0.45">
      <c r="B842" s="7"/>
      <c r="C842" s="7"/>
      <c r="D842" s="7"/>
      <c r="E842" s="7"/>
      <c r="F842" s="6"/>
      <c r="G842" s="6"/>
      <c r="H842" s="6"/>
      <c r="I842" s="6"/>
      <c r="J842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842" s="21"/>
      <c r="L842" s="7"/>
      <c r="M842" s="41"/>
      <c r="N842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842" s="26" t="str">
        <f>IF(
   T_Channel[[#This Row],[ProviderName]]="",
   "",
   COUNTIF($N$12:$N$9982,T_Channel[[#This Row],[ProviderName]])
)</f>
        <v/>
      </c>
      <c r="P842" s="26" t="str">
        <f>IF(
   T_Channel[[#This Row],[Check]]&lt;&gt;"OK",
   "",
   IF(
      T_Channel[[#This Row],[Query]]="",
      "Empty",
      "Defined"
   )
)</f>
        <v/>
      </c>
      <c r="Q842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842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842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84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842" s="20" t="str">
        <f>IF(
   T_Channel[[#This Row],[Check]]&lt;&gt;"OK",
   "",
   T_Channel[[#This Row],[ChannelSymbol]] &amp; ".evtx"
)</f>
        <v/>
      </c>
      <c r="V842" s="20" t="str">
        <f>IF(
   T_Channel[[#This Row],[Check]]&lt;&gt;"OK",
   "",
   T_Channel[[#This Row],[LogFolder]] &amp; "\" &amp; T_Channel[[#This Row],[LogFile]]
)</f>
        <v/>
      </c>
      <c r="W842" s="20" t="str">
        <f>IF(
   T_Channel[[#This Row],[Safekeeping of logs]]="",
   "",
   VLOOKUP(T_Channel[[#This Row],[Safekeeping of logs]],T_List_LogMode[],2,FALSE)
)</f>
        <v/>
      </c>
      <c r="X842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843" spans="2:24" x14ac:dyDescent="0.45">
      <c r="B843" s="7"/>
      <c r="C843" s="7"/>
      <c r="D843" s="7"/>
      <c r="E843" s="7"/>
      <c r="F843" s="6"/>
      <c r="G843" s="6"/>
      <c r="H843" s="6"/>
      <c r="I843" s="6"/>
      <c r="J843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843" s="21"/>
      <c r="L843" s="7"/>
      <c r="M843" s="41"/>
      <c r="N843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843" s="26" t="str">
        <f>IF(
   T_Channel[[#This Row],[ProviderName]]="",
   "",
   COUNTIF($N$12:$N$9982,T_Channel[[#This Row],[ProviderName]])
)</f>
        <v/>
      </c>
      <c r="P843" s="26" t="str">
        <f>IF(
   T_Channel[[#This Row],[Check]]&lt;&gt;"OK",
   "",
   IF(
      T_Channel[[#This Row],[Query]]="",
      "Empty",
      "Defined"
   )
)</f>
        <v/>
      </c>
      <c r="Q843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843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843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84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843" s="20" t="str">
        <f>IF(
   T_Channel[[#This Row],[Check]]&lt;&gt;"OK",
   "",
   T_Channel[[#This Row],[ChannelSymbol]] &amp; ".evtx"
)</f>
        <v/>
      </c>
      <c r="V843" s="20" t="str">
        <f>IF(
   T_Channel[[#This Row],[Check]]&lt;&gt;"OK",
   "",
   T_Channel[[#This Row],[LogFolder]] &amp; "\" &amp; T_Channel[[#This Row],[LogFile]]
)</f>
        <v/>
      </c>
      <c r="W843" s="20" t="str">
        <f>IF(
   T_Channel[[#This Row],[Safekeeping of logs]]="",
   "",
   VLOOKUP(T_Channel[[#This Row],[Safekeeping of logs]],T_List_LogMode[],2,FALSE)
)</f>
        <v/>
      </c>
      <c r="X843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844" spans="2:24" x14ac:dyDescent="0.45">
      <c r="B844" s="7"/>
      <c r="C844" s="7"/>
      <c r="D844" s="7"/>
      <c r="E844" s="7"/>
      <c r="F844" s="6"/>
      <c r="G844" s="6"/>
      <c r="H844" s="6"/>
      <c r="I844" s="6"/>
      <c r="J844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844" s="21"/>
      <c r="L844" s="7"/>
      <c r="M844" s="41"/>
      <c r="N844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844" s="26" t="str">
        <f>IF(
   T_Channel[[#This Row],[ProviderName]]="",
   "",
   COUNTIF($N$12:$N$9982,T_Channel[[#This Row],[ProviderName]])
)</f>
        <v/>
      </c>
      <c r="P844" s="26" t="str">
        <f>IF(
   T_Channel[[#This Row],[Check]]&lt;&gt;"OK",
   "",
   IF(
      T_Channel[[#This Row],[Query]]="",
      "Empty",
      "Defined"
   )
)</f>
        <v/>
      </c>
      <c r="Q844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844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844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84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844" s="20" t="str">
        <f>IF(
   T_Channel[[#This Row],[Check]]&lt;&gt;"OK",
   "",
   T_Channel[[#This Row],[ChannelSymbol]] &amp; ".evtx"
)</f>
        <v/>
      </c>
      <c r="V844" s="20" t="str">
        <f>IF(
   T_Channel[[#This Row],[Check]]&lt;&gt;"OK",
   "",
   T_Channel[[#This Row],[LogFolder]] &amp; "\" &amp; T_Channel[[#This Row],[LogFile]]
)</f>
        <v/>
      </c>
      <c r="W844" s="20" t="str">
        <f>IF(
   T_Channel[[#This Row],[Safekeeping of logs]]="",
   "",
   VLOOKUP(T_Channel[[#This Row],[Safekeeping of logs]],T_List_LogMode[],2,FALSE)
)</f>
        <v/>
      </c>
      <c r="X844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845" spans="2:24" x14ac:dyDescent="0.45">
      <c r="B845" s="7"/>
      <c r="C845" s="7"/>
      <c r="D845" s="7"/>
      <c r="E845" s="7"/>
      <c r="F845" s="6"/>
      <c r="G845" s="6"/>
      <c r="H845" s="6"/>
      <c r="I845" s="6"/>
      <c r="J845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845" s="21"/>
      <c r="L845" s="7"/>
      <c r="M845" s="41"/>
      <c r="N845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845" s="26" t="str">
        <f>IF(
   T_Channel[[#This Row],[ProviderName]]="",
   "",
   COUNTIF($N$12:$N$9982,T_Channel[[#This Row],[ProviderName]])
)</f>
        <v/>
      </c>
      <c r="P845" s="26" t="str">
        <f>IF(
   T_Channel[[#This Row],[Check]]&lt;&gt;"OK",
   "",
   IF(
      T_Channel[[#This Row],[Query]]="",
      "Empty",
      "Defined"
   )
)</f>
        <v/>
      </c>
      <c r="Q845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845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845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84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845" s="20" t="str">
        <f>IF(
   T_Channel[[#This Row],[Check]]&lt;&gt;"OK",
   "",
   T_Channel[[#This Row],[ChannelSymbol]] &amp; ".evtx"
)</f>
        <v/>
      </c>
      <c r="V845" s="20" t="str">
        <f>IF(
   T_Channel[[#This Row],[Check]]&lt;&gt;"OK",
   "",
   T_Channel[[#This Row],[LogFolder]] &amp; "\" &amp; T_Channel[[#This Row],[LogFile]]
)</f>
        <v/>
      </c>
      <c r="W845" s="20" t="str">
        <f>IF(
   T_Channel[[#This Row],[Safekeeping of logs]]="",
   "",
   VLOOKUP(T_Channel[[#This Row],[Safekeeping of logs]],T_List_LogMode[],2,FALSE)
)</f>
        <v/>
      </c>
      <c r="X845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846" spans="2:24" x14ac:dyDescent="0.45">
      <c r="B846" s="7"/>
      <c r="C846" s="7"/>
      <c r="D846" s="7"/>
      <c r="E846" s="7"/>
      <c r="F846" s="6"/>
      <c r="G846" s="6"/>
      <c r="H846" s="6"/>
      <c r="I846" s="6"/>
      <c r="J846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846" s="21"/>
      <c r="L846" s="7"/>
      <c r="M846" s="41"/>
      <c r="N846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846" s="26" t="str">
        <f>IF(
   T_Channel[[#This Row],[ProviderName]]="",
   "",
   COUNTIF($N$12:$N$9982,T_Channel[[#This Row],[ProviderName]])
)</f>
        <v/>
      </c>
      <c r="P846" s="26" t="str">
        <f>IF(
   T_Channel[[#This Row],[Check]]&lt;&gt;"OK",
   "",
   IF(
      T_Channel[[#This Row],[Query]]="",
      "Empty",
      "Defined"
   )
)</f>
        <v/>
      </c>
      <c r="Q846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846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846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84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846" s="20" t="str">
        <f>IF(
   T_Channel[[#This Row],[Check]]&lt;&gt;"OK",
   "",
   T_Channel[[#This Row],[ChannelSymbol]] &amp; ".evtx"
)</f>
        <v/>
      </c>
      <c r="V846" s="20" t="str">
        <f>IF(
   T_Channel[[#This Row],[Check]]&lt;&gt;"OK",
   "",
   T_Channel[[#This Row],[LogFolder]] &amp; "\" &amp; T_Channel[[#This Row],[LogFile]]
)</f>
        <v/>
      </c>
      <c r="W846" s="20" t="str">
        <f>IF(
   T_Channel[[#This Row],[Safekeeping of logs]]="",
   "",
   VLOOKUP(T_Channel[[#This Row],[Safekeeping of logs]],T_List_LogMode[],2,FALSE)
)</f>
        <v/>
      </c>
      <c r="X846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847" spans="2:24" x14ac:dyDescent="0.45">
      <c r="B847" s="7"/>
      <c r="C847" s="7"/>
      <c r="D847" s="7"/>
      <c r="E847" s="7"/>
      <c r="F847" s="6"/>
      <c r="G847" s="6"/>
      <c r="H847" s="6"/>
      <c r="I847" s="6"/>
      <c r="J847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847" s="21"/>
      <c r="L847" s="7"/>
      <c r="M847" s="41"/>
      <c r="N847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847" s="26" t="str">
        <f>IF(
   T_Channel[[#This Row],[ProviderName]]="",
   "",
   COUNTIF($N$12:$N$9982,T_Channel[[#This Row],[ProviderName]])
)</f>
        <v/>
      </c>
      <c r="P847" s="26" t="str">
        <f>IF(
   T_Channel[[#This Row],[Check]]&lt;&gt;"OK",
   "",
   IF(
      T_Channel[[#This Row],[Query]]="",
      "Empty",
      "Defined"
   )
)</f>
        <v/>
      </c>
      <c r="Q847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847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847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84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847" s="20" t="str">
        <f>IF(
   T_Channel[[#This Row],[Check]]&lt;&gt;"OK",
   "",
   T_Channel[[#This Row],[ChannelSymbol]] &amp; ".evtx"
)</f>
        <v/>
      </c>
      <c r="V847" s="20" t="str">
        <f>IF(
   T_Channel[[#This Row],[Check]]&lt;&gt;"OK",
   "",
   T_Channel[[#This Row],[LogFolder]] &amp; "\" &amp; T_Channel[[#This Row],[LogFile]]
)</f>
        <v/>
      </c>
      <c r="W847" s="20" t="str">
        <f>IF(
   T_Channel[[#This Row],[Safekeeping of logs]]="",
   "",
   VLOOKUP(T_Channel[[#This Row],[Safekeeping of logs]],T_List_LogMode[],2,FALSE)
)</f>
        <v/>
      </c>
      <c r="X847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848" spans="2:24" x14ac:dyDescent="0.45">
      <c r="B848" s="7"/>
      <c r="C848" s="7"/>
      <c r="D848" s="7"/>
      <c r="E848" s="7"/>
      <c r="F848" s="6"/>
      <c r="G848" s="6"/>
      <c r="H848" s="6"/>
      <c r="I848" s="6"/>
      <c r="J848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848" s="21"/>
      <c r="L848" s="7"/>
      <c r="M848" s="41"/>
      <c r="N848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848" s="26" t="str">
        <f>IF(
   T_Channel[[#This Row],[ProviderName]]="",
   "",
   COUNTIF($N$12:$N$9982,T_Channel[[#This Row],[ProviderName]])
)</f>
        <v/>
      </c>
      <c r="P848" s="26" t="str">
        <f>IF(
   T_Channel[[#This Row],[Check]]&lt;&gt;"OK",
   "",
   IF(
      T_Channel[[#This Row],[Query]]="",
      "Empty",
      "Defined"
   )
)</f>
        <v/>
      </c>
      <c r="Q848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848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848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84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848" s="20" t="str">
        <f>IF(
   T_Channel[[#This Row],[Check]]&lt;&gt;"OK",
   "",
   T_Channel[[#This Row],[ChannelSymbol]] &amp; ".evtx"
)</f>
        <v/>
      </c>
      <c r="V848" s="20" t="str">
        <f>IF(
   T_Channel[[#This Row],[Check]]&lt;&gt;"OK",
   "",
   T_Channel[[#This Row],[LogFolder]] &amp; "\" &amp; T_Channel[[#This Row],[LogFile]]
)</f>
        <v/>
      </c>
      <c r="W848" s="20" t="str">
        <f>IF(
   T_Channel[[#This Row],[Safekeeping of logs]]="",
   "",
   VLOOKUP(T_Channel[[#This Row],[Safekeeping of logs]],T_List_LogMode[],2,FALSE)
)</f>
        <v/>
      </c>
      <c r="X848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849" spans="2:24" x14ac:dyDescent="0.45">
      <c r="B849" s="7"/>
      <c r="C849" s="7"/>
      <c r="D849" s="7"/>
      <c r="E849" s="7"/>
      <c r="F849" s="6"/>
      <c r="G849" s="6"/>
      <c r="H849" s="6"/>
      <c r="I849" s="6"/>
      <c r="J849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849" s="21"/>
      <c r="L849" s="7"/>
      <c r="M849" s="41"/>
      <c r="N849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849" s="26" t="str">
        <f>IF(
   T_Channel[[#This Row],[ProviderName]]="",
   "",
   COUNTIF($N$12:$N$9982,T_Channel[[#This Row],[ProviderName]])
)</f>
        <v/>
      </c>
      <c r="P849" s="26" t="str">
        <f>IF(
   T_Channel[[#This Row],[Check]]&lt;&gt;"OK",
   "",
   IF(
      T_Channel[[#This Row],[Query]]="",
      "Empty",
      "Defined"
   )
)</f>
        <v/>
      </c>
      <c r="Q849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849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849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84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849" s="20" t="str">
        <f>IF(
   T_Channel[[#This Row],[Check]]&lt;&gt;"OK",
   "",
   T_Channel[[#This Row],[ChannelSymbol]] &amp; ".evtx"
)</f>
        <v/>
      </c>
      <c r="V849" s="20" t="str">
        <f>IF(
   T_Channel[[#This Row],[Check]]&lt;&gt;"OK",
   "",
   T_Channel[[#This Row],[LogFolder]] &amp; "\" &amp; T_Channel[[#This Row],[LogFile]]
)</f>
        <v/>
      </c>
      <c r="W849" s="20" t="str">
        <f>IF(
   T_Channel[[#This Row],[Safekeeping of logs]]="",
   "",
   VLOOKUP(T_Channel[[#This Row],[Safekeeping of logs]],T_List_LogMode[],2,FALSE)
)</f>
        <v/>
      </c>
      <c r="X849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850" spans="2:24" x14ac:dyDescent="0.45">
      <c r="B850" s="7"/>
      <c r="C850" s="7"/>
      <c r="D850" s="7"/>
      <c r="E850" s="7"/>
      <c r="F850" s="6"/>
      <c r="G850" s="6"/>
      <c r="H850" s="6"/>
      <c r="I850" s="6"/>
      <c r="J850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850" s="21"/>
      <c r="L850" s="7"/>
      <c r="M850" s="41"/>
      <c r="N850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850" s="26" t="str">
        <f>IF(
   T_Channel[[#This Row],[ProviderName]]="",
   "",
   COUNTIF($N$12:$N$9982,T_Channel[[#This Row],[ProviderName]])
)</f>
        <v/>
      </c>
      <c r="P850" s="26" t="str">
        <f>IF(
   T_Channel[[#This Row],[Check]]&lt;&gt;"OK",
   "",
   IF(
      T_Channel[[#This Row],[Query]]="",
      "Empty",
      "Defined"
   )
)</f>
        <v/>
      </c>
      <c r="Q850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850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850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85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850" s="20" t="str">
        <f>IF(
   T_Channel[[#This Row],[Check]]&lt;&gt;"OK",
   "",
   T_Channel[[#This Row],[ChannelSymbol]] &amp; ".evtx"
)</f>
        <v/>
      </c>
      <c r="V850" s="20" t="str">
        <f>IF(
   T_Channel[[#This Row],[Check]]&lt;&gt;"OK",
   "",
   T_Channel[[#This Row],[LogFolder]] &amp; "\" &amp; T_Channel[[#This Row],[LogFile]]
)</f>
        <v/>
      </c>
      <c r="W850" s="20" t="str">
        <f>IF(
   T_Channel[[#This Row],[Safekeeping of logs]]="",
   "",
   VLOOKUP(T_Channel[[#This Row],[Safekeeping of logs]],T_List_LogMode[],2,FALSE)
)</f>
        <v/>
      </c>
      <c r="X850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851" spans="2:24" x14ac:dyDescent="0.45">
      <c r="B851" s="7"/>
      <c r="C851" s="7"/>
      <c r="D851" s="7"/>
      <c r="E851" s="7"/>
      <c r="F851" s="6"/>
      <c r="G851" s="6"/>
      <c r="H851" s="6"/>
      <c r="I851" s="6"/>
      <c r="J851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851" s="21"/>
      <c r="L851" s="7"/>
      <c r="M851" s="41"/>
      <c r="N851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851" s="26" t="str">
        <f>IF(
   T_Channel[[#This Row],[ProviderName]]="",
   "",
   COUNTIF($N$12:$N$9982,T_Channel[[#This Row],[ProviderName]])
)</f>
        <v/>
      </c>
      <c r="P851" s="26" t="str">
        <f>IF(
   T_Channel[[#This Row],[Check]]&lt;&gt;"OK",
   "",
   IF(
      T_Channel[[#This Row],[Query]]="",
      "Empty",
      "Defined"
   )
)</f>
        <v/>
      </c>
      <c r="Q851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851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851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85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851" s="20" t="str">
        <f>IF(
   T_Channel[[#This Row],[Check]]&lt;&gt;"OK",
   "",
   T_Channel[[#This Row],[ChannelSymbol]] &amp; ".evtx"
)</f>
        <v/>
      </c>
      <c r="V851" s="20" t="str">
        <f>IF(
   T_Channel[[#This Row],[Check]]&lt;&gt;"OK",
   "",
   T_Channel[[#This Row],[LogFolder]] &amp; "\" &amp; T_Channel[[#This Row],[LogFile]]
)</f>
        <v/>
      </c>
      <c r="W851" s="20" t="str">
        <f>IF(
   T_Channel[[#This Row],[Safekeeping of logs]]="",
   "",
   VLOOKUP(T_Channel[[#This Row],[Safekeeping of logs]],T_List_LogMode[],2,FALSE)
)</f>
        <v/>
      </c>
      <c r="X851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852" spans="2:24" x14ac:dyDescent="0.45">
      <c r="B852" s="7"/>
      <c r="C852" s="7"/>
      <c r="D852" s="7"/>
      <c r="E852" s="7"/>
      <c r="F852" s="6"/>
      <c r="G852" s="6"/>
      <c r="H852" s="6"/>
      <c r="I852" s="6"/>
      <c r="J852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852" s="21"/>
      <c r="L852" s="7"/>
      <c r="M852" s="41"/>
      <c r="N852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852" s="26" t="str">
        <f>IF(
   T_Channel[[#This Row],[ProviderName]]="",
   "",
   COUNTIF($N$12:$N$9982,T_Channel[[#This Row],[ProviderName]])
)</f>
        <v/>
      </c>
      <c r="P852" s="26" t="str">
        <f>IF(
   T_Channel[[#This Row],[Check]]&lt;&gt;"OK",
   "",
   IF(
      T_Channel[[#This Row],[Query]]="",
      "Empty",
      "Defined"
   )
)</f>
        <v/>
      </c>
      <c r="Q852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852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852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85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852" s="20" t="str">
        <f>IF(
   T_Channel[[#This Row],[Check]]&lt;&gt;"OK",
   "",
   T_Channel[[#This Row],[ChannelSymbol]] &amp; ".evtx"
)</f>
        <v/>
      </c>
      <c r="V852" s="20" t="str">
        <f>IF(
   T_Channel[[#This Row],[Check]]&lt;&gt;"OK",
   "",
   T_Channel[[#This Row],[LogFolder]] &amp; "\" &amp; T_Channel[[#This Row],[LogFile]]
)</f>
        <v/>
      </c>
      <c r="W852" s="20" t="str">
        <f>IF(
   T_Channel[[#This Row],[Safekeeping of logs]]="",
   "",
   VLOOKUP(T_Channel[[#This Row],[Safekeeping of logs]],T_List_LogMode[],2,FALSE)
)</f>
        <v/>
      </c>
      <c r="X852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853" spans="2:24" x14ac:dyDescent="0.45">
      <c r="B853" s="7"/>
      <c r="C853" s="7"/>
      <c r="D853" s="7"/>
      <c r="E853" s="7"/>
      <c r="F853" s="6"/>
      <c r="G853" s="6"/>
      <c r="H853" s="6"/>
      <c r="I853" s="6"/>
      <c r="J853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853" s="21"/>
      <c r="L853" s="7"/>
      <c r="M853" s="41"/>
      <c r="N853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853" s="26" t="str">
        <f>IF(
   T_Channel[[#This Row],[ProviderName]]="",
   "",
   COUNTIF($N$12:$N$9982,T_Channel[[#This Row],[ProviderName]])
)</f>
        <v/>
      </c>
      <c r="P853" s="26" t="str">
        <f>IF(
   T_Channel[[#This Row],[Check]]&lt;&gt;"OK",
   "",
   IF(
      T_Channel[[#This Row],[Query]]="",
      "Empty",
      "Defined"
   )
)</f>
        <v/>
      </c>
      <c r="Q853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853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853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85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853" s="20" t="str">
        <f>IF(
   T_Channel[[#This Row],[Check]]&lt;&gt;"OK",
   "",
   T_Channel[[#This Row],[ChannelSymbol]] &amp; ".evtx"
)</f>
        <v/>
      </c>
      <c r="V853" s="20" t="str">
        <f>IF(
   T_Channel[[#This Row],[Check]]&lt;&gt;"OK",
   "",
   T_Channel[[#This Row],[LogFolder]] &amp; "\" &amp; T_Channel[[#This Row],[LogFile]]
)</f>
        <v/>
      </c>
      <c r="W853" s="20" t="str">
        <f>IF(
   T_Channel[[#This Row],[Safekeeping of logs]]="",
   "",
   VLOOKUP(T_Channel[[#This Row],[Safekeeping of logs]],T_List_LogMode[],2,FALSE)
)</f>
        <v/>
      </c>
      <c r="X853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854" spans="2:24" x14ac:dyDescent="0.45">
      <c r="B854" s="7"/>
      <c r="C854" s="7"/>
      <c r="D854" s="7"/>
      <c r="E854" s="7"/>
      <c r="F854" s="6"/>
      <c r="G854" s="6"/>
      <c r="H854" s="6"/>
      <c r="I854" s="6"/>
      <c r="J854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854" s="21"/>
      <c r="L854" s="7"/>
      <c r="M854" s="41"/>
      <c r="N854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854" s="26" t="str">
        <f>IF(
   T_Channel[[#This Row],[ProviderName]]="",
   "",
   COUNTIF($N$12:$N$9982,T_Channel[[#This Row],[ProviderName]])
)</f>
        <v/>
      </c>
      <c r="P854" s="26" t="str">
        <f>IF(
   T_Channel[[#This Row],[Check]]&lt;&gt;"OK",
   "",
   IF(
      T_Channel[[#This Row],[Query]]="",
      "Empty",
      "Defined"
   )
)</f>
        <v/>
      </c>
      <c r="Q854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854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854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85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854" s="20" t="str">
        <f>IF(
   T_Channel[[#This Row],[Check]]&lt;&gt;"OK",
   "",
   T_Channel[[#This Row],[ChannelSymbol]] &amp; ".evtx"
)</f>
        <v/>
      </c>
      <c r="V854" s="20" t="str">
        <f>IF(
   T_Channel[[#This Row],[Check]]&lt;&gt;"OK",
   "",
   T_Channel[[#This Row],[LogFolder]] &amp; "\" &amp; T_Channel[[#This Row],[LogFile]]
)</f>
        <v/>
      </c>
      <c r="W854" s="20" t="str">
        <f>IF(
   T_Channel[[#This Row],[Safekeeping of logs]]="",
   "",
   VLOOKUP(T_Channel[[#This Row],[Safekeeping of logs]],T_List_LogMode[],2,FALSE)
)</f>
        <v/>
      </c>
      <c r="X854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855" spans="2:24" x14ac:dyDescent="0.45">
      <c r="B855" s="7"/>
      <c r="C855" s="7"/>
      <c r="D855" s="7"/>
      <c r="E855" s="7"/>
      <c r="F855" s="6"/>
      <c r="G855" s="6"/>
      <c r="H855" s="6"/>
      <c r="I855" s="6"/>
      <c r="J855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855" s="21"/>
      <c r="L855" s="7"/>
      <c r="M855" s="41"/>
      <c r="N855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855" s="26" t="str">
        <f>IF(
   T_Channel[[#This Row],[ProviderName]]="",
   "",
   COUNTIF($N$12:$N$9982,T_Channel[[#This Row],[ProviderName]])
)</f>
        <v/>
      </c>
      <c r="P855" s="26" t="str">
        <f>IF(
   T_Channel[[#This Row],[Check]]&lt;&gt;"OK",
   "",
   IF(
      T_Channel[[#This Row],[Query]]="",
      "Empty",
      "Defined"
   )
)</f>
        <v/>
      </c>
      <c r="Q855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855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855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85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855" s="20" t="str">
        <f>IF(
   T_Channel[[#This Row],[Check]]&lt;&gt;"OK",
   "",
   T_Channel[[#This Row],[ChannelSymbol]] &amp; ".evtx"
)</f>
        <v/>
      </c>
      <c r="V855" s="20" t="str">
        <f>IF(
   T_Channel[[#This Row],[Check]]&lt;&gt;"OK",
   "",
   T_Channel[[#This Row],[LogFolder]] &amp; "\" &amp; T_Channel[[#This Row],[LogFile]]
)</f>
        <v/>
      </c>
      <c r="W855" s="20" t="str">
        <f>IF(
   T_Channel[[#This Row],[Safekeeping of logs]]="",
   "",
   VLOOKUP(T_Channel[[#This Row],[Safekeeping of logs]],T_List_LogMode[],2,FALSE)
)</f>
        <v/>
      </c>
      <c r="X855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856" spans="2:24" x14ac:dyDescent="0.45">
      <c r="B856" s="7"/>
      <c r="C856" s="7"/>
      <c r="D856" s="7"/>
      <c r="E856" s="7"/>
      <c r="F856" s="6"/>
      <c r="G856" s="6"/>
      <c r="H856" s="6"/>
      <c r="I856" s="6"/>
      <c r="J856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856" s="21"/>
      <c r="L856" s="7"/>
      <c r="M856" s="41"/>
      <c r="N856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856" s="26" t="str">
        <f>IF(
   T_Channel[[#This Row],[ProviderName]]="",
   "",
   COUNTIF($N$12:$N$9982,T_Channel[[#This Row],[ProviderName]])
)</f>
        <v/>
      </c>
      <c r="P856" s="26" t="str">
        <f>IF(
   T_Channel[[#This Row],[Check]]&lt;&gt;"OK",
   "",
   IF(
      T_Channel[[#This Row],[Query]]="",
      "Empty",
      "Defined"
   )
)</f>
        <v/>
      </c>
      <c r="Q856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856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856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85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856" s="20" t="str">
        <f>IF(
   T_Channel[[#This Row],[Check]]&lt;&gt;"OK",
   "",
   T_Channel[[#This Row],[ChannelSymbol]] &amp; ".evtx"
)</f>
        <v/>
      </c>
      <c r="V856" s="20" t="str">
        <f>IF(
   T_Channel[[#This Row],[Check]]&lt;&gt;"OK",
   "",
   T_Channel[[#This Row],[LogFolder]] &amp; "\" &amp; T_Channel[[#This Row],[LogFile]]
)</f>
        <v/>
      </c>
      <c r="W856" s="20" t="str">
        <f>IF(
   T_Channel[[#This Row],[Safekeeping of logs]]="",
   "",
   VLOOKUP(T_Channel[[#This Row],[Safekeeping of logs]],T_List_LogMode[],2,FALSE)
)</f>
        <v/>
      </c>
      <c r="X856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857" spans="2:24" x14ac:dyDescent="0.45">
      <c r="B857" s="7"/>
      <c r="C857" s="7"/>
      <c r="D857" s="7"/>
      <c r="E857" s="7"/>
      <c r="F857" s="6"/>
      <c r="G857" s="6"/>
      <c r="H857" s="6"/>
      <c r="I857" s="6"/>
      <c r="J857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857" s="21"/>
      <c r="L857" s="7"/>
      <c r="M857" s="41"/>
      <c r="N857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857" s="26" t="str">
        <f>IF(
   T_Channel[[#This Row],[ProviderName]]="",
   "",
   COUNTIF($N$12:$N$9982,T_Channel[[#This Row],[ProviderName]])
)</f>
        <v/>
      </c>
      <c r="P857" s="26" t="str">
        <f>IF(
   T_Channel[[#This Row],[Check]]&lt;&gt;"OK",
   "",
   IF(
      T_Channel[[#This Row],[Query]]="",
      "Empty",
      "Defined"
   )
)</f>
        <v/>
      </c>
      <c r="Q857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857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857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85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857" s="20" t="str">
        <f>IF(
   T_Channel[[#This Row],[Check]]&lt;&gt;"OK",
   "",
   T_Channel[[#This Row],[ChannelSymbol]] &amp; ".evtx"
)</f>
        <v/>
      </c>
      <c r="V857" s="20" t="str">
        <f>IF(
   T_Channel[[#This Row],[Check]]&lt;&gt;"OK",
   "",
   T_Channel[[#This Row],[LogFolder]] &amp; "\" &amp; T_Channel[[#This Row],[LogFile]]
)</f>
        <v/>
      </c>
      <c r="W857" s="20" t="str">
        <f>IF(
   T_Channel[[#This Row],[Safekeeping of logs]]="",
   "",
   VLOOKUP(T_Channel[[#This Row],[Safekeeping of logs]],T_List_LogMode[],2,FALSE)
)</f>
        <v/>
      </c>
      <c r="X857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858" spans="2:24" x14ac:dyDescent="0.45">
      <c r="B858" s="7"/>
      <c r="C858" s="7"/>
      <c r="D858" s="7"/>
      <c r="E858" s="7"/>
      <c r="F858" s="6"/>
      <c r="G858" s="6"/>
      <c r="H858" s="6"/>
      <c r="I858" s="6"/>
      <c r="J858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858" s="21"/>
      <c r="L858" s="7"/>
      <c r="M858" s="41"/>
      <c r="N858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858" s="26" t="str">
        <f>IF(
   T_Channel[[#This Row],[ProviderName]]="",
   "",
   COUNTIF($N$12:$N$9982,T_Channel[[#This Row],[ProviderName]])
)</f>
        <v/>
      </c>
      <c r="P858" s="26" t="str">
        <f>IF(
   T_Channel[[#This Row],[Check]]&lt;&gt;"OK",
   "",
   IF(
      T_Channel[[#This Row],[Query]]="",
      "Empty",
      "Defined"
   )
)</f>
        <v/>
      </c>
      <c r="Q858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858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858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85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858" s="20" t="str">
        <f>IF(
   T_Channel[[#This Row],[Check]]&lt;&gt;"OK",
   "",
   T_Channel[[#This Row],[ChannelSymbol]] &amp; ".evtx"
)</f>
        <v/>
      </c>
      <c r="V858" s="20" t="str">
        <f>IF(
   T_Channel[[#This Row],[Check]]&lt;&gt;"OK",
   "",
   T_Channel[[#This Row],[LogFolder]] &amp; "\" &amp; T_Channel[[#This Row],[LogFile]]
)</f>
        <v/>
      </c>
      <c r="W858" s="20" t="str">
        <f>IF(
   T_Channel[[#This Row],[Safekeeping of logs]]="",
   "",
   VLOOKUP(T_Channel[[#This Row],[Safekeeping of logs]],T_List_LogMode[],2,FALSE)
)</f>
        <v/>
      </c>
      <c r="X858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859" spans="2:24" x14ac:dyDescent="0.45">
      <c r="B859" s="7"/>
      <c r="C859" s="7"/>
      <c r="D859" s="7"/>
      <c r="E859" s="7"/>
      <c r="F859" s="6"/>
      <c r="G859" s="6"/>
      <c r="H859" s="6"/>
      <c r="I859" s="6"/>
      <c r="J859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859" s="21"/>
      <c r="L859" s="7"/>
      <c r="M859" s="41"/>
      <c r="N859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859" s="26" t="str">
        <f>IF(
   T_Channel[[#This Row],[ProviderName]]="",
   "",
   COUNTIF($N$12:$N$9982,T_Channel[[#This Row],[ProviderName]])
)</f>
        <v/>
      </c>
      <c r="P859" s="26" t="str">
        <f>IF(
   T_Channel[[#This Row],[Check]]&lt;&gt;"OK",
   "",
   IF(
      T_Channel[[#This Row],[Query]]="",
      "Empty",
      "Defined"
   )
)</f>
        <v/>
      </c>
      <c r="Q859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859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859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85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859" s="20" t="str">
        <f>IF(
   T_Channel[[#This Row],[Check]]&lt;&gt;"OK",
   "",
   T_Channel[[#This Row],[ChannelSymbol]] &amp; ".evtx"
)</f>
        <v/>
      </c>
      <c r="V859" s="20" t="str">
        <f>IF(
   T_Channel[[#This Row],[Check]]&lt;&gt;"OK",
   "",
   T_Channel[[#This Row],[LogFolder]] &amp; "\" &amp; T_Channel[[#This Row],[LogFile]]
)</f>
        <v/>
      </c>
      <c r="W859" s="20" t="str">
        <f>IF(
   T_Channel[[#This Row],[Safekeeping of logs]]="",
   "",
   VLOOKUP(T_Channel[[#This Row],[Safekeeping of logs]],T_List_LogMode[],2,FALSE)
)</f>
        <v/>
      </c>
      <c r="X859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860" spans="2:24" x14ac:dyDescent="0.45">
      <c r="B860" s="7"/>
      <c r="C860" s="7"/>
      <c r="D860" s="7"/>
      <c r="E860" s="7"/>
      <c r="F860" s="6"/>
      <c r="G860" s="6"/>
      <c r="H860" s="6"/>
      <c r="I860" s="6"/>
      <c r="J860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860" s="21"/>
      <c r="L860" s="7"/>
      <c r="M860" s="41"/>
      <c r="N860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860" s="26" t="str">
        <f>IF(
   T_Channel[[#This Row],[ProviderName]]="",
   "",
   COUNTIF($N$12:$N$9982,T_Channel[[#This Row],[ProviderName]])
)</f>
        <v/>
      </c>
      <c r="P860" s="26" t="str">
        <f>IF(
   T_Channel[[#This Row],[Check]]&lt;&gt;"OK",
   "",
   IF(
      T_Channel[[#This Row],[Query]]="",
      "Empty",
      "Defined"
   )
)</f>
        <v/>
      </c>
      <c r="Q860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860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860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86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860" s="20" t="str">
        <f>IF(
   T_Channel[[#This Row],[Check]]&lt;&gt;"OK",
   "",
   T_Channel[[#This Row],[ChannelSymbol]] &amp; ".evtx"
)</f>
        <v/>
      </c>
      <c r="V860" s="20" t="str">
        <f>IF(
   T_Channel[[#This Row],[Check]]&lt;&gt;"OK",
   "",
   T_Channel[[#This Row],[LogFolder]] &amp; "\" &amp; T_Channel[[#This Row],[LogFile]]
)</f>
        <v/>
      </c>
      <c r="W860" s="20" t="str">
        <f>IF(
   T_Channel[[#This Row],[Safekeeping of logs]]="",
   "",
   VLOOKUP(T_Channel[[#This Row],[Safekeeping of logs]],T_List_LogMode[],2,FALSE)
)</f>
        <v/>
      </c>
      <c r="X860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861" spans="2:24" x14ac:dyDescent="0.45">
      <c r="B861" s="7"/>
      <c r="C861" s="7"/>
      <c r="D861" s="7"/>
      <c r="E861" s="7"/>
      <c r="F861" s="6"/>
      <c r="G861" s="6"/>
      <c r="H861" s="6"/>
      <c r="I861" s="6"/>
      <c r="J861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861" s="21"/>
      <c r="L861" s="7"/>
      <c r="M861" s="41"/>
      <c r="N861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861" s="26" t="str">
        <f>IF(
   T_Channel[[#This Row],[ProviderName]]="",
   "",
   COUNTIF($N$12:$N$9982,T_Channel[[#This Row],[ProviderName]])
)</f>
        <v/>
      </c>
      <c r="P861" s="26" t="str">
        <f>IF(
   T_Channel[[#This Row],[Check]]&lt;&gt;"OK",
   "",
   IF(
      T_Channel[[#This Row],[Query]]="",
      "Empty",
      "Defined"
   )
)</f>
        <v/>
      </c>
      <c r="Q861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861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861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86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861" s="20" t="str">
        <f>IF(
   T_Channel[[#This Row],[Check]]&lt;&gt;"OK",
   "",
   T_Channel[[#This Row],[ChannelSymbol]] &amp; ".evtx"
)</f>
        <v/>
      </c>
      <c r="V861" s="20" t="str">
        <f>IF(
   T_Channel[[#This Row],[Check]]&lt;&gt;"OK",
   "",
   T_Channel[[#This Row],[LogFolder]] &amp; "\" &amp; T_Channel[[#This Row],[LogFile]]
)</f>
        <v/>
      </c>
      <c r="W861" s="20" t="str">
        <f>IF(
   T_Channel[[#This Row],[Safekeeping of logs]]="",
   "",
   VLOOKUP(T_Channel[[#This Row],[Safekeeping of logs]],T_List_LogMode[],2,FALSE)
)</f>
        <v/>
      </c>
      <c r="X861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862" spans="2:24" x14ac:dyDescent="0.45">
      <c r="B862" s="7"/>
      <c r="C862" s="7"/>
      <c r="D862" s="7"/>
      <c r="E862" s="7"/>
      <c r="F862" s="6"/>
      <c r="G862" s="6"/>
      <c r="H862" s="6"/>
      <c r="I862" s="6"/>
      <c r="J862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862" s="21"/>
      <c r="L862" s="7"/>
      <c r="M862" s="41"/>
      <c r="N862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862" s="26" t="str">
        <f>IF(
   T_Channel[[#This Row],[ProviderName]]="",
   "",
   COUNTIF($N$12:$N$9982,T_Channel[[#This Row],[ProviderName]])
)</f>
        <v/>
      </c>
      <c r="P862" s="26" t="str">
        <f>IF(
   T_Channel[[#This Row],[Check]]&lt;&gt;"OK",
   "",
   IF(
      T_Channel[[#This Row],[Query]]="",
      "Empty",
      "Defined"
   )
)</f>
        <v/>
      </c>
      <c r="Q862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862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862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86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862" s="20" t="str">
        <f>IF(
   T_Channel[[#This Row],[Check]]&lt;&gt;"OK",
   "",
   T_Channel[[#This Row],[ChannelSymbol]] &amp; ".evtx"
)</f>
        <v/>
      </c>
      <c r="V862" s="20" t="str">
        <f>IF(
   T_Channel[[#This Row],[Check]]&lt;&gt;"OK",
   "",
   T_Channel[[#This Row],[LogFolder]] &amp; "\" &amp; T_Channel[[#This Row],[LogFile]]
)</f>
        <v/>
      </c>
      <c r="W862" s="20" t="str">
        <f>IF(
   T_Channel[[#This Row],[Safekeeping of logs]]="",
   "",
   VLOOKUP(T_Channel[[#This Row],[Safekeeping of logs]],T_List_LogMode[],2,FALSE)
)</f>
        <v/>
      </c>
      <c r="X862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863" spans="2:24" x14ac:dyDescent="0.45">
      <c r="B863" s="7"/>
      <c r="C863" s="7"/>
      <c r="D863" s="7"/>
      <c r="E863" s="7"/>
      <c r="F863" s="6"/>
      <c r="G863" s="6"/>
      <c r="H863" s="6"/>
      <c r="I863" s="6"/>
      <c r="J863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863" s="21"/>
      <c r="L863" s="7"/>
      <c r="M863" s="41"/>
      <c r="N863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863" s="26" t="str">
        <f>IF(
   T_Channel[[#This Row],[ProviderName]]="",
   "",
   COUNTIF($N$12:$N$9982,T_Channel[[#This Row],[ProviderName]])
)</f>
        <v/>
      </c>
      <c r="P863" s="26" t="str">
        <f>IF(
   T_Channel[[#This Row],[Check]]&lt;&gt;"OK",
   "",
   IF(
      T_Channel[[#This Row],[Query]]="",
      "Empty",
      "Defined"
   )
)</f>
        <v/>
      </c>
      <c r="Q863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863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863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86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863" s="20" t="str">
        <f>IF(
   T_Channel[[#This Row],[Check]]&lt;&gt;"OK",
   "",
   T_Channel[[#This Row],[ChannelSymbol]] &amp; ".evtx"
)</f>
        <v/>
      </c>
      <c r="V863" s="20" t="str">
        <f>IF(
   T_Channel[[#This Row],[Check]]&lt;&gt;"OK",
   "",
   T_Channel[[#This Row],[LogFolder]] &amp; "\" &amp; T_Channel[[#This Row],[LogFile]]
)</f>
        <v/>
      </c>
      <c r="W863" s="20" t="str">
        <f>IF(
   T_Channel[[#This Row],[Safekeeping of logs]]="",
   "",
   VLOOKUP(T_Channel[[#This Row],[Safekeeping of logs]],T_List_LogMode[],2,FALSE)
)</f>
        <v/>
      </c>
      <c r="X863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864" spans="2:24" x14ac:dyDescent="0.45">
      <c r="B864" s="7"/>
      <c r="C864" s="7"/>
      <c r="D864" s="7"/>
      <c r="E864" s="7"/>
      <c r="F864" s="6"/>
      <c r="G864" s="6"/>
      <c r="H864" s="6"/>
      <c r="I864" s="6"/>
      <c r="J864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864" s="21"/>
      <c r="L864" s="7"/>
      <c r="M864" s="41"/>
      <c r="N864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864" s="26" t="str">
        <f>IF(
   T_Channel[[#This Row],[ProviderName]]="",
   "",
   COUNTIF($N$12:$N$9982,T_Channel[[#This Row],[ProviderName]])
)</f>
        <v/>
      </c>
      <c r="P864" s="26" t="str">
        <f>IF(
   T_Channel[[#This Row],[Check]]&lt;&gt;"OK",
   "",
   IF(
      T_Channel[[#This Row],[Query]]="",
      "Empty",
      "Defined"
   )
)</f>
        <v/>
      </c>
      <c r="Q864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864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864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86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864" s="20" t="str">
        <f>IF(
   T_Channel[[#This Row],[Check]]&lt;&gt;"OK",
   "",
   T_Channel[[#This Row],[ChannelSymbol]] &amp; ".evtx"
)</f>
        <v/>
      </c>
      <c r="V864" s="20" t="str">
        <f>IF(
   T_Channel[[#This Row],[Check]]&lt;&gt;"OK",
   "",
   T_Channel[[#This Row],[LogFolder]] &amp; "\" &amp; T_Channel[[#This Row],[LogFile]]
)</f>
        <v/>
      </c>
      <c r="W864" s="20" t="str">
        <f>IF(
   T_Channel[[#This Row],[Safekeeping of logs]]="",
   "",
   VLOOKUP(T_Channel[[#This Row],[Safekeeping of logs]],T_List_LogMode[],2,FALSE)
)</f>
        <v/>
      </c>
      <c r="X864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865" spans="2:24" x14ac:dyDescent="0.45">
      <c r="B865" s="7"/>
      <c r="C865" s="7"/>
      <c r="D865" s="7"/>
      <c r="E865" s="7"/>
      <c r="F865" s="6"/>
      <c r="G865" s="6"/>
      <c r="H865" s="6"/>
      <c r="I865" s="6"/>
      <c r="J865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865" s="21"/>
      <c r="L865" s="7"/>
      <c r="M865" s="41"/>
      <c r="N865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865" s="26" t="str">
        <f>IF(
   T_Channel[[#This Row],[ProviderName]]="",
   "",
   COUNTIF($N$12:$N$9982,T_Channel[[#This Row],[ProviderName]])
)</f>
        <v/>
      </c>
      <c r="P865" s="26" t="str">
        <f>IF(
   T_Channel[[#This Row],[Check]]&lt;&gt;"OK",
   "",
   IF(
      T_Channel[[#This Row],[Query]]="",
      "Empty",
      "Defined"
   )
)</f>
        <v/>
      </c>
      <c r="Q865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865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865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86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865" s="20" t="str">
        <f>IF(
   T_Channel[[#This Row],[Check]]&lt;&gt;"OK",
   "",
   T_Channel[[#This Row],[ChannelSymbol]] &amp; ".evtx"
)</f>
        <v/>
      </c>
      <c r="V865" s="20" t="str">
        <f>IF(
   T_Channel[[#This Row],[Check]]&lt;&gt;"OK",
   "",
   T_Channel[[#This Row],[LogFolder]] &amp; "\" &amp; T_Channel[[#This Row],[LogFile]]
)</f>
        <v/>
      </c>
      <c r="W865" s="20" t="str">
        <f>IF(
   T_Channel[[#This Row],[Safekeeping of logs]]="",
   "",
   VLOOKUP(T_Channel[[#This Row],[Safekeeping of logs]],T_List_LogMode[],2,FALSE)
)</f>
        <v/>
      </c>
      <c r="X865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866" spans="2:24" x14ac:dyDescent="0.45">
      <c r="B866" s="7"/>
      <c r="C866" s="7"/>
      <c r="D866" s="7"/>
      <c r="E866" s="7"/>
      <c r="F866" s="6"/>
      <c r="G866" s="6"/>
      <c r="H866" s="6"/>
      <c r="I866" s="6"/>
      <c r="J866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866" s="21"/>
      <c r="L866" s="7"/>
      <c r="M866" s="41"/>
      <c r="N866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866" s="26" t="str">
        <f>IF(
   T_Channel[[#This Row],[ProviderName]]="",
   "",
   COUNTIF($N$12:$N$9982,T_Channel[[#This Row],[ProviderName]])
)</f>
        <v/>
      </c>
      <c r="P866" s="26" t="str">
        <f>IF(
   T_Channel[[#This Row],[Check]]&lt;&gt;"OK",
   "",
   IF(
      T_Channel[[#This Row],[Query]]="",
      "Empty",
      "Defined"
   )
)</f>
        <v/>
      </c>
      <c r="Q866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866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866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86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866" s="20" t="str">
        <f>IF(
   T_Channel[[#This Row],[Check]]&lt;&gt;"OK",
   "",
   T_Channel[[#This Row],[ChannelSymbol]] &amp; ".evtx"
)</f>
        <v/>
      </c>
      <c r="V866" s="20" t="str">
        <f>IF(
   T_Channel[[#This Row],[Check]]&lt;&gt;"OK",
   "",
   T_Channel[[#This Row],[LogFolder]] &amp; "\" &amp; T_Channel[[#This Row],[LogFile]]
)</f>
        <v/>
      </c>
      <c r="W866" s="20" t="str">
        <f>IF(
   T_Channel[[#This Row],[Safekeeping of logs]]="",
   "",
   VLOOKUP(T_Channel[[#This Row],[Safekeeping of logs]],T_List_LogMode[],2,FALSE)
)</f>
        <v/>
      </c>
      <c r="X866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867" spans="2:24" x14ac:dyDescent="0.45">
      <c r="B867" s="7"/>
      <c r="C867" s="7"/>
      <c r="D867" s="7"/>
      <c r="E867" s="7"/>
      <c r="F867" s="6"/>
      <c r="G867" s="6"/>
      <c r="H867" s="6"/>
      <c r="I867" s="6"/>
      <c r="J867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867" s="21"/>
      <c r="L867" s="7"/>
      <c r="M867" s="41"/>
      <c r="N867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867" s="26" t="str">
        <f>IF(
   T_Channel[[#This Row],[ProviderName]]="",
   "",
   COUNTIF($N$12:$N$9982,T_Channel[[#This Row],[ProviderName]])
)</f>
        <v/>
      </c>
      <c r="P867" s="26" t="str">
        <f>IF(
   T_Channel[[#This Row],[Check]]&lt;&gt;"OK",
   "",
   IF(
      T_Channel[[#This Row],[Query]]="",
      "Empty",
      "Defined"
   )
)</f>
        <v/>
      </c>
      <c r="Q867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867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867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86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867" s="20" t="str">
        <f>IF(
   T_Channel[[#This Row],[Check]]&lt;&gt;"OK",
   "",
   T_Channel[[#This Row],[ChannelSymbol]] &amp; ".evtx"
)</f>
        <v/>
      </c>
      <c r="V867" s="20" t="str">
        <f>IF(
   T_Channel[[#This Row],[Check]]&lt;&gt;"OK",
   "",
   T_Channel[[#This Row],[LogFolder]] &amp; "\" &amp; T_Channel[[#This Row],[LogFile]]
)</f>
        <v/>
      </c>
      <c r="W867" s="20" t="str">
        <f>IF(
   T_Channel[[#This Row],[Safekeeping of logs]]="",
   "",
   VLOOKUP(T_Channel[[#This Row],[Safekeeping of logs]],T_List_LogMode[],2,FALSE)
)</f>
        <v/>
      </c>
      <c r="X867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868" spans="2:24" x14ac:dyDescent="0.45">
      <c r="B868" s="7"/>
      <c r="C868" s="7"/>
      <c r="D868" s="7"/>
      <c r="E868" s="7"/>
      <c r="F868" s="6"/>
      <c r="G868" s="6"/>
      <c r="H868" s="6"/>
      <c r="I868" s="6"/>
      <c r="J868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868" s="21"/>
      <c r="L868" s="7"/>
      <c r="M868" s="41"/>
      <c r="N868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868" s="26" t="str">
        <f>IF(
   T_Channel[[#This Row],[ProviderName]]="",
   "",
   COUNTIF($N$12:$N$9982,T_Channel[[#This Row],[ProviderName]])
)</f>
        <v/>
      </c>
      <c r="P868" s="26" t="str">
        <f>IF(
   T_Channel[[#This Row],[Check]]&lt;&gt;"OK",
   "",
   IF(
      T_Channel[[#This Row],[Query]]="",
      "Empty",
      "Defined"
   )
)</f>
        <v/>
      </c>
      <c r="Q868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868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868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86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868" s="20" t="str">
        <f>IF(
   T_Channel[[#This Row],[Check]]&lt;&gt;"OK",
   "",
   T_Channel[[#This Row],[ChannelSymbol]] &amp; ".evtx"
)</f>
        <v/>
      </c>
      <c r="V868" s="20" t="str">
        <f>IF(
   T_Channel[[#This Row],[Check]]&lt;&gt;"OK",
   "",
   T_Channel[[#This Row],[LogFolder]] &amp; "\" &amp; T_Channel[[#This Row],[LogFile]]
)</f>
        <v/>
      </c>
      <c r="W868" s="20" t="str">
        <f>IF(
   T_Channel[[#This Row],[Safekeeping of logs]]="",
   "",
   VLOOKUP(T_Channel[[#This Row],[Safekeeping of logs]],T_List_LogMode[],2,FALSE)
)</f>
        <v/>
      </c>
      <c r="X868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869" spans="2:24" x14ac:dyDescent="0.45">
      <c r="B869" s="7"/>
      <c r="C869" s="7"/>
      <c r="D869" s="7"/>
      <c r="E869" s="7"/>
      <c r="F869" s="6"/>
      <c r="G869" s="6"/>
      <c r="H869" s="6"/>
      <c r="I869" s="6"/>
      <c r="J869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869" s="21"/>
      <c r="L869" s="7"/>
      <c r="M869" s="41"/>
      <c r="N869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869" s="26" t="str">
        <f>IF(
   T_Channel[[#This Row],[ProviderName]]="",
   "",
   COUNTIF($N$12:$N$9982,T_Channel[[#This Row],[ProviderName]])
)</f>
        <v/>
      </c>
      <c r="P869" s="26" t="str">
        <f>IF(
   T_Channel[[#This Row],[Check]]&lt;&gt;"OK",
   "",
   IF(
      T_Channel[[#This Row],[Query]]="",
      "Empty",
      "Defined"
   )
)</f>
        <v/>
      </c>
      <c r="Q869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869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869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86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869" s="20" t="str">
        <f>IF(
   T_Channel[[#This Row],[Check]]&lt;&gt;"OK",
   "",
   T_Channel[[#This Row],[ChannelSymbol]] &amp; ".evtx"
)</f>
        <v/>
      </c>
      <c r="V869" s="20" t="str">
        <f>IF(
   T_Channel[[#This Row],[Check]]&lt;&gt;"OK",
   "",
   T_Channel[[#This Row],[LogFolder]] &amp; "\" &amp; T_Channel[[#This Row],[LogFile]]
)</f>
        <v/>
      </c>
      <c r="W869" s="20" t="str">
        <f>IF(
   T_Channel[[#This Row],[Safekeeping of logs]]="",
   "",
   VLOOKUP(T_Channel[[#This Row],[Safekeeping of logs]],T_List_LogMode[],2,FALSE)
)</f>
        <v/>
      </c>
      <c r="X869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870" spans="2:24" x14ac:dyDescent="0.45">
      <c r="B870" s="7"/>
      <c r="C870" s="7"/>
      <c r="D870" s="7"/>
      <c r="E870" s="7"/>
      <c r="F870" s="6"/>
      <c r="G870" s="6"/>
      <c r="H870" s="6"/>
      <c r="I870" s="6"/>
      <c r="J870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870" s="21"/>
      <c r="L870" s="7"/>
      <c r="M870" s="41"/>
      <c r="N870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870" s="26" t="str">
        <f>IF(
   T_Channel[[#This Row],[ProviderName]]="",
   "",
   COUNTIF($N$12:$N$9982,T_Channel[[#This Row],[ProviderName]])
)</f>
        <v/>
      </c>
      <c r="P870" s="26" t="str">
        <f>IF(
   T_Channel[[#This Row],[Check]]&lt;&gt;"OK",
   "",
   IF(
      T_Channel[[#This Row],[Query]]="",
      "Empty",
      "Defined"
   )
)</f>
        <v/>
      </c>
      <c r="Q870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870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870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87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870" s="20" t="str">
        <f>IF(
   T_Channel[[#This Row],[Check]]&lt;&gt;"OK",
   "",
   T_Channel[[#This Row],[ChannelSymbol]] &amp; ".evtx"
)</f>
        <v/>
      </c>
      <c r="V870" s="20" t="str">
        <f>IF(
   T_Channel[[#This Row],[Check]]&lt;&gt;"OK",
   "",
   T_Channel[[#This Row],[LogFolder]] &amp; "\" &amp; T_Channel[[#This Row],[LogFile]]
)</f>
        <v/>
      </c>
      <c r="W870" s="20" t="str">
        <f>IF(
   T_Channel[[#This Row],[Safekeeping of logs]]="",
   "",
   VLOOKUP(T_Channel[[#This Row],[Safekeeping of logs]],T_List_LogMode[],2,FALSE)
)</f>
        <v/>
      </c>
      <c r="X870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871" spans="2:24" x14ac:dyDescent="0.45">
      <c r="B871" s="7"/>
      <c r="C871" s="7"/>
      <c r="D871" s="7"/>
      <c r="E871" s="7"/>
      <c r="F871" s="6"/>
      <c r="G871" s="6"/>
      <c r="H871" s="6"/>
      <c r="I871" s="6"/>
      <c r="J871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871" s="21"/>
      <c r="L871" s="7"/>
      <c r="M871" s="41"/>
      <c r="N871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871" s="26" t="str">
        <f>IF(
   T_Channel[[#This Row],[ProviderName]]="",
   "",
   COUNTIF($N$12:$N$9982,T_Channel[[#This Row],[ProviderName]])
)</f>
        <v/>
      </c>
      <c r="P871" s="26" t="str">
        <f>IF(
   T_Channel[[#This Row],[Check]]&lt;&gt;"OK",
   "",
   IF(
      T_Channel[[#This Row],[Query]]="",
      "Empty",
      "Defined"
   )
)</f>
        <v/>
      </c>
      <c r="Q871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871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871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87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871" s="20" t="str">
        <f>IF(
   T_Channel[[#This Row],[Check]]&lt;&gt;"OK",
   "",
   T_Channel[[#This Row],[ChannelSymbol]] &amp; ".evtx"
)</f>
        <v/>
      </c>
      <c r="V871" s="20" t="str">
        <f>IF(
   T_Channel[[#This Row],[Check]]&lt;&gt;"OK",
   "",
   T_Channel[[#This Row],[LogFolder]] &amp; "\" &amp; T_Channel[[#This Row],[LogFile]]
)</f>
        <v/>
      </c>
      <c r="W871" s="20" t="str">
        <f>IF(
   T_Channel[[#This Row],[Safekeeping of logs]]="",
   "",
   VLOOKUP(T_Channel[[#This Row],[Safekeeping of logs]],T_List_LogMode[],2,FALSE)
)</f>
        <v/>
      </c>
      <c r="X871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872" spans="2:24" x14ac:dyDescent="0.45">
      <c r="B872" s="7"/>
      <c r="C872" s="7"/>
      <c r="D872" s="7"/>
      <c r="E872" s="7"/>
      <c r="F872" s="6"/>
      <c r="G872" s="6"/>
      <c r="H872" s="6"/>
      <c r="I872" s="6"/>
      <c r="J872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872" s="21"/>
      <c r="L872" s="7"/>
      <c r="M872" s="41"/>
      <c r="N872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872" s="26" t="str">
        <f>IF(
   T_Channel[[#This Row],[ProviderName]]="",
   "",
   COUNTIF($N$12:$N$9982,T_Channel[[#This Row],[ProviderName]])
)</f>
        <v/>
      </c>
      <c r="P872" s="26" t="str">
        <f>IF(
   T_Channel[[#This Row],[Check]]&lt;&gt;"OK",
   "",
   IF(
      T_Channel[[#This Row],[Query]]="",
      "Empty",
      "Defined"
   )
)</f>
        <v/>
      </c>
      <c r="Q872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872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872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87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872" s="20" t="str">
        <f>IF(
   T_Channel[[#This Row],[Check]]&lt;&gt;"OK",
   "",
   T_Channel[[#This Row],[ChannelSymbol]] &amp; ".evtx"
)</f>
        <v/>
      </c>
      <c r="V872" s="20" t="str">
        <f>IF(
   T_Channel[[#This Row],[Check]]&lt;&gt;"OK",
   "",
   T_Channel[[#This Row],[LogFolder]] &amp; "\" &amp; T_Channel[[#This Row],[LogFile]]
)</f>
        <v/>
      </c>
      <c r="W872" s="20" t="str">
        <f>IF(
   T_Channel[[#This Row],[Safekeeping of logs]]="",
   "",
   VLOOKUP(T_Channel[[#This Row],[Safekeeping of logs]],T_List_LogMode[],2,FALSE)
)</f>
        <v/>
      </c>
      <c r="X872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873" spans="2:24" x14ac:dyDescent="0.45">
      <c r="B873" s="7"/>
      <c r="C873" s="7"/>
      <c r="D873" s="7"/>
      <c r="E873" s="7"/>
      <c r="F873" s="6"/>
      <c r="G873" s="6"/>
      <c r="H873" s="6"/>
      <c r="I873" s="6"/>
      <c r="J873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873" s="21"/>
      <c r="L873" s="7"/>
      <c r="M873" s="41"/>
      <c r="N873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873" s="26" t="str">
        <f>IF(
   T_Channel[[#This Row],[ProviderName]]="",
   "",
   COUNTIF($N$12:$N$9982,T_Channel[[#This Row],[ProviderName]])
)</f>
        <v/>
      </c>
      <c r="P873" s="26" t="str">
        <f>IF(
   T_Channel[[#This Row],[Check]]&lt;&gt;"OK",
   "",
   IF(
      T_Channel[[#This Row],[Query]]="",
      "Empty",
      "Defined"
   )
)</f>
        <v/>
      </c>
      <c r="Q873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873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873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87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873" s="20" t="str">
        <f>IF(
   T_Channel[[#This Row],[Check]]&lt;&gt;"OK",
   "",
   T_Channel[[#This Row],[ChannelSymbol]] &amp; ".evtx"
)</f>
        <v/>
      </c>
      <c r="V873" s="20" t="str">
        <f>IF(
   T_Channel[[#This Row],[Check]]&lt;&gt;"OK",
   "",
   T_Channel[[#This Row],[LogFolder]] &amp; "\" &amp; T_Channel[[#This Row],[LogFile]]
)</f>
        <v/>
      </c>
      <c r="W873" s="20" t="str">
        <f>IF(
   T_Channel[[#This Row],[Safekeeping of logs]]="",
   "",
   VLOOKUP(T_Channel[[#This Row],[Safekeeping of logs]],T_List_LogMode[],2,FALSE)
)</f>
        <v/>
      </c>
      <c r="X873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874" spans="2:24" x14ac:dyDescent="0.45">
      <c r="B874" s="7"/>
      <c r="C874" s="7"/>
      <c r="D874" s="7"/>
      <c r="E874" s="7"/>
      <c r="F874" s="6"/>
      <c r="G874" s="6"/>
      <c r="H874" s="6"/>
      <c r="I874" s="6"/>
      <c r="J874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874" s="21"/>
      <c r="L874" s="7"/>
      <c r="M874" s="41"/>
      <c r="N874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874" s="26" t="str">
        <f>IF(
   T_Channel[[#This Row],[ProviderName]]="",
   "",
   COUNTIF($N$12:$N$9982,T_Channel[[#This Row],[ProviderName]])
)</f>
        <v/>
      </c>
      <c r="P874" s="26" t="str">
        <f>IF(
   T_Channel[[#This Row],[Check]]&lt;&gt;"OK",
   "",
   IF(
      T_Channel[[#This Row],[Query]]="",
      "Empty",
      "Defined"
   )
)</f>
        <v/>
      </c>
      <c r="Q874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874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874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87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874" s="20" t="str">
        <f>IF(
   T_Channel[[#This Row],[Check]]&lt;&gt;"OK",
   "",
   T_Channel[[#This Row],[ChannelSymbol]] &amp; ".evtx"
)</f>
        <v/>
      </c>
      <c r="V874" s="20" t="str">
        <f>IF(
   T_Channel[[#This Row],[Check]]&lt;&gt;"OK",
   "",
   T_Channel[[#This Row],[LogFolder]] &amp; "\" &amp; T_Channel[[#This Row],[LogFile]]
)</f>
        <v/>
      </c>
      <c r="W874" s="20" t="str">
        <f>IF(
   T_Channel[[#This Row],[Safekeeping of logs]]="",
   "",
   VLOOKUP(T_Channel[[#This Row],[Safekeeping of logs]],T_List_LogMode[],2,FALSE)
)</f>
        <v/>
      </c>
      <c r="X874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875" spans="2:24" x14ac:dyDescent="0.45">
      <c r="B875" s="7"/>
      <c r="C875" s="7"/>
      <c r="D875" s="7"/>
      <c r="E875" s="7"/>
      <c r="F875" s="6"/>
      <c r="G875" s="6"/>
      <c r="H875" s="6"/>
      <c r="I875" s="6"/>
      <c r="J875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875" s="21"/>
      <c r="L875" s="7"/>
      <c r="M875" s="41"/>
      <c r="N875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875" s="26" t="str">
        <f>IF(
   T_Channel[[#This Row],[ProviderName]]="",
   "",
   COUNTIF($N$12:$N$9982,T_Channel[[#This Row],[ProviderName]])
)</f>
        <v/>
      </c>
      <c r="P875" s="26" t="str">
        <f>IF(
   T_Channel[[#This Row],[Check]]&lt;&gt;"OK",
   "",
   IF(
      T_Channel[[#This Row],[Query]]="",
      "Empty",
      "Defined"
   )
)</f>
        <v/>
      </c>
      <c r="Q875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875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875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87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875" s="20" t="str">
        <f>IF(
   T_Channel[[#This Row],[Check]]&lt;&gt;"OK",
   "",
   T_Channel[[#This Row],[ChannelSymbol]] &amp; ".evtx"
)</f>
        <v/>
      </c>
      <c r="V875" s="20" t="str">
        <f>IF(
   T_Channel[[#This Row],[Check]]&lt;&gt;"OK",
   "",
   T_Channel[[#This Row],[LogFolder]] &amp; "\" &amp; T_Channel[[#This Row],[LogFile]]
)</f>
        <v/>
      </c>
      <c r="W875" s="20" t="str">
        <f>IF(
   T_Channel[[#This Row],[Safekeeping of logs]]="",
   "",
   VLOOKUP(T_Channel[[#This Row],[Safekeeping of logs]],T_List_LogMode[],2,FALSE)
)</f>
        <v/>
      </c>
      <c r="X875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876" spans="2:24" x14ac:dyDescent="0.45">
      <c r="B876" s="7"/>
      <c r="C876" s="7"/>
      <c r="D876" s="7"/>
      <c r="E876" s="7"/>
      <c r="F876" s="6"/>
      <c r="G876" s="6"/>
      <c r="H876" s="6"/>
      <c r="I876" s="6"/>
      <c r="J876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876" s="21"/>
      <c r="L876" s="7"/>
      <c r="M876" s="41"/>
      <c r="N876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876" s="26" t="str">
        <f>IF(
   T_Channel[[#This Row],[ProviderName]]="",
   "",
   COUNTIF($N$12:$N$9982,T_Channel[[#This Row],[ProviderName]])
)</f>
        <v/>
      </c>
      <c r="P876" s="26" t="str">
        <f>IF(
   T_Channel[[#This Row],[Check]]&lt;&gt;"OK",
   "",
   IF(
      T_Channel[[#This Row],[Query]]="",
      "Empty",
      "Defined"
   )
)</f>
        <v/>
      </c>
      <c r="Q876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876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876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87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876" s="20" t="str">
        <f>IF(
   T_Channel[[#This Row],[Check]]&lt;&gt;"OK",
   "",
   T_Channel[[#This Row],[ChannelSymbol]] &amp; ".evtx"
)</f>
        <v/>
      </c>
      <c r="V876" s="20" t="str">
        <f>IF(
   T_Channel[[#This Row],[Check]]&lt;&gt;"OK",
   "",
   T_Channel[[#This Row],[LogFolder]] &amp; "\" &amp; T_Channel[[#This Row],[LogFile]]
)</f>
        <v/>
      </c>
      <c r="W876" s="20" t="str">
        <f>IF(
   T_Channel[[#This Row],[Safekeeping of logs]]="",
   "",
   VLOOKUP(T_Channel[[#This Row],[Safekeeping of logs]],T_List_LogMode[],2,FALSE)
)</f>
        <v/>
      </c>
      <c r="X876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877" spans="2:24" x14ac:dyDescent="0.45">
      <c r="B877" s="7"/>
      <c r="C877" s="7"/>
      <c r="D877" s="7"/>
      <c r="E877" s="7"/>
      <c r="F877" s="6"/>
      <c r="G877" s="6"/>
      <c r="H877" s="6"/>
      <c r="I877" s="6"/>
      <c r="J877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877" s="21"/>
      <c r="L877" s="7"/>
      <c r="M877" s="41"/>
      <c r="N877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877" s="26" t="str">
        <f>IF(
   T_Channel[[#This Row],[ProviderName]]="",
   "",
   COUNTIF($N$12:$N$9982,T_Channel[[#This Row],[ProviderName]])
)</f>
        <v/>
      </c>
      <c r="P877" s="26" t="str">
        <f>IF(
   T_Channel[[#This Row],[Check]]&lt;&gt;"OK",
   "",
   IF(
      T_Channel[[#This Row],[Query]]="",
      "Empty",
      "Defined"
   )
)</f>
        <v/>
      </c>
      <c r="Q877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877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877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87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877" s="20" t="str">
        <f>IF(
   T_Channel[[#This Row],[Check]]&lt;&gt;"OK",
   "",
   T_Channel[[#This Row],[ChannelSymbol]] &amp; ".evtx"
)</f>
        <v/>
      </c>
      <c r="V877" s="20" t="str">
        <f>IF(
   T_Channel[[#This Row],[Check]]&lt;&gt;"OK",
   "",
   T_Channel[[#This Row],[LogFolder]] &amp; "\" &amp; T_Channel[[#This Row],[LogFile]]
)</f>
        <v/>
      </c>
      <c r="W877" s="20" t="str">
        <f>IF(
   T_Channel[[#This Row],[Safekeeping of logs]]="",
   "",
   VLOOKUP(T_Channel[[#This Row],[Safekeeping of logs]],T_List_LogMode[],2,FALSE)
)</f>
        <v/>
      </c>
      <c r="X877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878" spans="2:24" x14ac:dyDescent="0.45">
      <c r="B878" s="7"/>
      <c r="C878" s="7"/>
      <c r="D878" s="7"/>
      <c r="E878" s="7"/>
      <c r="F878" s="6"/>
      <c r="G878" s="6"/>
      <c r="H878" s="6"/>
      <c r="I878" s="6"/>
      <c r="J878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878" s="21"/>
      <c r="L878" s="7"/>
      <c r="M878" s="41"/>
      <c r="N878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878" s="26" t="str">
        <f>IF(
   T_Channel[[#This Row],[ProviderName]]="",
   "",
   COUNTIF($N$12:$N$9982,T_Channel[[#This Row],[ProviderName]])
)</f>
        <v/>
      </c>
      <c r="P878" s="26" t="str">
        <f>IF(
   T_Channel[[#This Row],[Check]]&lt;&gt;"OK",
   "",
   IF(
      T_Channel[[#This Row],[Query]]="",
      "Empty",
      "Defined"
   )
)</f>
        <v/>
      </c>
      <c r="Q878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878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878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87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878" s="20" t="str">
        <f>IF(
   T_Channel[[#This Row],[Check]]&lt;&gt;"OK",
   "",
   T_Channel[[#This Row],[ChannelSymbol]] &amp; ".evtx"
)</f>
        <v/>
      </c>
      <c r="V878" s="20" t="str">
        <f>IF(
   T_Channel[[#This Row],[Check]]&lt;&gt;"OK",
   "",
   T_Channel[[#This Row],[LogFolder]] &amp; "\" &amp; T_Channel[[#This Row],[LogFile]]
)</f>
        <v/>
      </c>
      <c r="W878" s="20" t="str">
        <f>IF(
   T_Channel[[#This Row],[Safekeeping of logs]]="",
   "",
   VLOOKUP(T_Channel[[#This Row],[Safekeeping of logs]],T_List_LogMode[],2,FALSE)
)</f>
        <v/>
      </c>
      <c r="X878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879" spans="2:24" x14ac:dyDescent="0.45">
      <c r="B879" s="7"/>
      <c r="C879" s="7"/>
      <c r="D879" s="7"/>
      <c r="E879" s="7"/>
      <c r="F879" s="6"/>
      <c r="G879" s="6"/>
      <c r="H879" s="6"/>
      <c r="I879" s="6"/>
      <c r="J879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879" s="21"/>
      <c r="L879" s="7"/>
      <c r="M879" s="41"/>
      <c r="N879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879" s="26" t="str">
        <f>IF(
   T_Channel[[#This Row],[ProviderName]]="",
   "",
   COUNTIF($N$12:$N$9982,T_Channel[[#This Row],[ProviderName]])
)</f>
        <v/>
      </c>
      <c r="P879" s="26" t="str">
        <f>IF(
   T_Channel[[#This Row],[Check]]&lt;&gt;"OK",
   "",
   IF(
      T_Channel[[#This Row],[Query]]="",
      "Empty",
      "Defined"
   )
)</f>
        <v/>
      </c>
      <c r="Q879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879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879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87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879" s="20" t="str">
        <f>IF(
   T_Channel[[#This Row],[Check]]&lt;&gt;"OK",
   "",
   T_Channel[[#This Row],[ChannelSymbol]] &amp; ".evtx"
)</f>
        <v/>
      </c>
      <c r="V879" s="20" t="str">
        <f>IF(
   T_Channel[[#This Row],[Check]]&lt;&gt;"OK",
   "",
   T_Channel[[#This Row],[LogFolder]] &amp; "\" &amp; T_Channel[[#This Row],[LogFile]]
)</f>
        <v/>
      </c>
      <c r="W879" s="20" t="str">
        <f>IF(
   T_Channel[[#This Row],[Safekeeping of logs]]="",
   "",
   VLOOKUP(T_Channel[[#This Row],[Safekeeping of logs]],T_List_LogMode[],2,FALSE)
)</f>
        <v/>
      </c>
      <c r="X879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880" spans="2:24" x14ac:dyDescent="0.45">
      <c r="B880" s="7"/>
      <c r="C880" s="7"/>
      <c r="D880" s="7"/>
      <c r="E880" s="7"/>
      <c r="F880" s="6"/>
      <c r="G880" s="6"/>
      <c r="H880" s="6"/>
      <c r="I880" s="6"/>
      <c r="J880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880" s="21"/>
      <c r="L880" s="7"/>
      <c r="M880" s="41"/>
      <c r="N880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880" s="26" t="str">
        <f>IF(
   T_Channel[[#This Row],[ProviderName]]="",
   "",
   COUNTIF($N$12:$N$9982,T_Channel[[#This Row],[ProviderName]])
)</f>
        <v/>
      </c>
      <c r="P880" s="26" t="str">
        <f>IF(
   T_Channel[[#This Row],[Check]]&lt;&gt;"OK",
   "",
   IF(
      T_Channel[[#This Row],[Query]]="",
      "Empty",
      "Defined"
   )
)</f>
        <v/>
      </c>
      <c r="Q880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880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880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88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880" s="20" t="str">
        <f>IF(
   T_Channel[[#This Row],[Check]]&lt;&gt;"OK",
   "",
   T_Channel[[#This Row],[ChannelSymbol]] &amp; ".evtx"
)</f>
        <v/>
      </c>
      <c r="V880" s="20" t="str">
        <f>IF(
   T_Channel[[#This Row],[Check]]&lt;&gt;"OK",
   "",
   T_Channel[[#This Row],[LogFolder]] &amp; "\" &amp; T_Channel[[#This Row],[LogFile]]
)</f>
        <v/>
      </c>
      <c r="W880" s="20" t="str">
        <f>IF(
   T_Channel[[#This Row],[Safekeeping of logs]]="",
   "",
   VLOOKUP(T_Channel[[#This Row],[Safekeeping of logs]],T_List_LogMode[],2,FALSE)
)</f>
        <v/>
      </c>
      <c r="X880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881" spans="2:24" x14ac:dyDescent="0.45">
      <c r="B881" s="7"/>
      <c r="C881" s="7"/>
      <c r="D881" s="7"/>
      <c r="E881" s="7"/>
      <c r="F881" s="6"/>
      <c r="G881" s="6"/>
      <c r="H881" s="6"/>
      <c r="I881" s="6"/>
      <c r="J881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881" s="21"/>
      <c r="L881" s="7"/>
      <c r="M881" s="41"/>
      <c r="N881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881" s="26" t="str">
        <f>IF(
   T_Channel[[#This Row],[ProviderName]]="",
   "",
   COUNTIF($N$12:$N$9982,T_Channel[[#This Row],[ProviderName]])
)</f>
        <v/>
      </c>
      <c r="P881" s="26" t="str">
        <f>IF(
   T_Channel[[#This Row],[Check]]&lt;&gt;"OK",
   "",
   IF(
      T_Channel[[#This Row],[Query]]="",
      "Empty",
      "Defined"
   )
)</f>
        <v/>
      </c>
      <c r="Q881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881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881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88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881" s="20" t="str">
        <f>IF(
   T_Channel[[#This Row],[Check]]&lt;&gt;"OK",
   "",
   T_Channel[[#This Row],[ChannelSymbol]] &amp; ".evtx"
)</f>
        <v/>
      </c>
      <c r="V881" s="20" t="str">
        <f>IF(
   T_Channel[[#This Row],[Check]]&lt;&gt;"OK",
   "",
   T_Channel[[#This Row],[LogFolder]] &amp; "\" &amp; T_Channel[[#This Row],[LogFile]]
)</f>
        <v/>
      </c>
      <c r="W881" s="20" t="str">
        <f>IF(
   T_Channel[[#This Row],[Safekeeping of logs]]="",
   "",
   VLOOKUP(T_Channel[[#This Row],[Safekeeping of logs]],T_List_LogMode[],2,FALSE)
)</f>
        <v/>
      </c>
      <c r="X881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882" spans="2:24" x14ac:dyDescent="0.45">
      <c r="B882" s="7"/>
      <c r="C882" s="7"/>
      <c r="D882" s="7"/>
      <c r="E882" s="7"/>
      <c r="F882" s="6"/>
      <c r="G882" s="6"/>
      <c r="H882" s="6"/>
      <c r="I882" s="6"/>
      <c r="J882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882" s="21"/>
      <c r="L882" s="7"/>
      <c r="M882" s="41"/>
      <c r="N882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882" s="26" t="str">
        <f>IF(
   T_Channel[[#This Row],[ProviderName]]="",
   "",
   COUNTIF($N$12:$N$9982,T_Channel[[#This Row],[ProviderName]])
)</f>
        <v/>
      </c>
      <c r="P882" s="26" t="str">
        <f>IF(
   T_Channel[[#This Row],[Check]]&lt;&gt;"OK",
   "",
   IF(
      T_Channel[[#This Row],[Query]]="",
      "Empty",
      "Defined"
   )
)</f>
        <v/>
      </c>
      <c r="Q882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882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882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88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882" s="20" t="str">
        <f>IF(
   T_Channel[[#This Row],[Check]]&lt;&gt;"OK",
   "",
   T_Channel[[#This Row],[ChannelSymbol]] &amp; ".evtx"
)</f>
        <v/>
      </c>
      <c r="V882" s="20" t="str">
        <f>IF(
   T_Channel[[#This Row],[Check]]&lt;&gt;"OK",
   "",
   T_Channel[[#This Row],[LogFolder]] &amp; "\" &amp; T_Channel[[#This Row],[LogFile]]
)</f>
        <v/>
      </c>
      <c r="W882" s="20" t="str">
        <f>IF(
   T_Channel[[#This Row],[Safekeeping of logs]]="",
   "",
   VLOOKUP(T_Channel[[#This Row],[Safekeeping of logs]],T_List_LogMode[],2,FALSE)
)</f>
        <v/>
      </c>
      <c r="X882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883" spans="2:24" x14ac:dyDescent="0.45">
      <c r="B883" s="7"/>
      <c r="C883" s="7"/>
      <c r="D883" s="7"/>
      <c r="E883" s="7"/>
      <c r="F883" s="6"/>
      <c r="G883" s="6"/>
      <c r="H883" s="6"/>
      <c r="I883" s="6"/>
      <c r="J883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883" s="21"/>
      <c r="L883" s="7"/>
      <c r="M883" s="41"/>
      <c r="N883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883" s="26" t="str">
        <f>IF(
   T_Channel[[#This Row],[ProviderName]]="",
   "",
   COUNTIF($N$12:$N$9982,T_Channel[[#This Row],[ProviderName]])
)</f>
        <v/>
      </c>
      <c r="P883" s="26" t="str">
        <f>IF(
   T_Channel[[#This Row],[Check]]&lt;&gt;"OK",
   "",
   IF(
      T_Channel[[#This Row],[Query]]="",
      "Empty",
      "Defined"
   )
)</f>
        <v/>
      </c>
      <c r="Q883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883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883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88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883" s="20" t="str">
        <f>IF(
   T_Channel[[#This Row],[Check]]&lt;&gt;"OK",
   "",
   T_Channel[[#This Row],[ChannelSymbol]] &amp; ".evtx"
)</f>
        <v/>
      </c>
      <c r="V883" s="20" t="str">
        <f>IF(
   T_Channel[[#This Row],[Check]]&lt;&gt;"OK",
   "",
   T_Channel[[#This Row],[LogFolder]] &amp; "\" &amp; T_Channel[[#This Row],[LogFile]]
)</f>
        <v/>
      </c>
      <c r="W883" s="20" t="str">
        <f>IF(
   T_Channel[[#This Row],[Safekeeping of logs]]="",
   "",
   VLOOKUP(T_Channel[[#This Row],[Safekeeping of logs]],T_List_LogMode[],2,FALSE)
)</f>
        <v/>
      </c>
      <c r="X883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884" spans="2:24" x14ac:dyDescent="0.45">
      <c r="B884" s="7"/>
      <c r="C884" s="7"/>
      <c r="D884" s="7"/>
      <c r="E884" s="7"/>
      <c r="F884" s="6"/>
      <c r="G884" s="6"/>
      <c r="H884" s="6"/>
      <c r="I884" s="6"/>
      <c r="J884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884" s="21"/>
      <c r="L884" s="7"/>
      <c r="M884" s="41"/>
      <c r="N884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884" s="26" t="str">
        <f>IF(
   T_Channel[[#This Row],[ProviderName]]="",
   "",
   COUNTIF($N$12:$N$9982,T_Channel[[#This Row],[ProviderName]])
)</f>
        <v/>
      </c>
      <c r="P884" s="26" t="str">
        <f>IF(
   T_Channel[[#This Row],[Check]]&lt;&gt;"OK",
   "",
   IF(
      T_Channel[[#This Row],[Query]]="",
      "Empty",
      "Defined"
   )
)</f>
        <v/>
      </c>
      <c r="Q884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884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884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88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884" s="20" t="str">
        <f>IF(
   T_Channel[[#This Row],[Check]]&lt;&gt;"OK",
   "",
   T_Channel[[#This Row],[ChannelSymbol]] &amp; ".evtx"
)</f>
        <v/>
      </c>
      <c r="V884" s="20" t="str">
        <f>IF(
   T_Channel[[#This Row],[Check]]&lt;&gt;"OK",
   "",
   T_Channel[[#This Row],[LogFolder]] &amp; "\" &amp; T_Channel[[#This Row],[LogFile]]
)</f>
        <v/>
      </c>
      <c r="W884" s="20" t="str">
        <f>IF(
   T_Channel[[#This Row],[Safekeeping of logs]]="",
   "",
   VLOOKUP(T_Channel[[#This Row],[Safekeeping of logs]],T_List_LogMode[],2,FALSE)
)</f>
        <v/>
      </c>
      <c r="X884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885" spans="2:24" x14ac:dyDescent="0.45">
      <c r="B885" s="7"/>
      <c r="C885" s="7"/>
      <c r="D885" s="7"/>
      <c r="E885" s="7"/>
      <c r="F885" s="6"/>
      <c r="G885" s="6"/>
      <c r="H885" s="6"/>
      <c r="I885" s="6"/>
      <c r="J885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885" s="21"/>
      <c r="L885" s="7"/>
      <c r="M885" s="41"/>
      <c r="N885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885" s="26" t="str">
        <f>IF(
   T_Channel[[#This Row],[ProviderName]]="",
   "",
   COUNTIF($N$12:$N$9982,T_Channel[[#This Row],[ProviderName]])
)</f>
        <v/>
      </c>
      <c r="P885" s="26" t="str">
        <f>IF(
   T_Channel[[#This Row],[Check]]&lt;&gt;"OK",
   "",
   IF(
      T_Channel[[#This Row],[Query]]="",
      "Empty",
      "Defined"
   )
)</f>
        <v/>
      </c>
      <c r="Q885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885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885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88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885" s="20" t="str">
        <f>IF(
   T_Channel[[#This Row],[Check]]&lt;&gt;"OK",
   "",
   T_Channel[[#This Row],[ChannelSymbol]] &amp; ".evtx"
)</f>
        <v/>
      </c>
      <c r="V885" s="20" t="str">
        <f>IF(
   T_Channel[[#This Row],[Check]]&lt;&gt;"OK",
   "",
   T_Channel[[#This Row],[LogFolder]] &amp; "\" &amp; T_Channel[[#This Row],[LogFile]]
)</f>
        <v/>
      </c>
      <c r="W885" s="20" t="str">
        <f>IF(
   T_Channel[[#This Row],[Safekeeping of logs]]="",
   "",
   VLOOKUP(T_Channel[[#This Row],[Safekeeping of logs]],T_List_LogMode[],2,FALSE)
)</f>
        <v/>
      </c>
      <c r="X885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886" spans="2:24" x14ac:dyDescent="0.45">
      <c r="B886" s="7"/>
      <c r="C886" s="7"/>
      <c r="D886" s="7"/>
      <c r="E886" s="7"/>
      <c r="F886" s="6"/>
      <c r="G886" s="6"/>
      <c r="H886" s="6"/>
      <c r="I886" s="6"/>
      <c r="J886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886" s="21"/>
      <c r="L886" s="7"/>
      <c r="M886" s="41"/>
      <c r="N886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886" s="26" t="str">
        <f>IF(
   T_Channel[[#This Row],[ProviderName]]="",
   "",
   COUNTIF($N$12:$N$9982,T_Channel[[#This Row],[ProviderName]])
)</f>
        <v/>
      </c>
      <c r="P886" s="26" t="str">
        <f>IF(
   T_Channel[[#This Row],[Check]]&lt;&gt;"OK",
   "",
   IF(
      T_Channel[[#This Row],[Query]]="",
      "Empty",
      "Defined"
   )
)</f>
        <v/>
      </c>
      <c r="Q886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886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886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88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886" s="20" t="str">
        <f>IF(
   T_Channel[[#This Row],[Check]]&lt;&gt;"OK",
   "",
   T_Channel[[#This Row],[ChannelSymbol]] &amp; ".evtx"
)</f>
        <v/>
      </c>
      <c r="V886" s="20" t="str">
        <f>IF(
   T_Channel[[#This Row],[Check]]&lt;&gt;"OK",
   "",
   T_Channel[[#This Row],[LogFolder]] &amp; "\" &amp; T_Channel[[#This Row],[LogFile]]
)</f>
        <v/>
      </c>
      <c r="W886" s="20" t="str">
        <f>IF(
   T_Channel[[#This Row],[Safekeeping of logs]]="",
   "",
   VLOOKUP(T_Channel[[#This Row],[Safekeeping of logs]],T_List_LogMode[],2,FALSE)
)</f>
        <v/>
      </c>
      <c r="X886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887" spans="2:24" x14ac:dyDescent="0.45">
      <c r="B887" s="7"/>
      <c r="C887" s="7"/>
      <c r="D887" s="7"/>
      <c r="E887" s="7"/>
      <c r="F887" s="6"/>
      <c r="G887" s="6"/>
      <c r="H887" s="6"/>
      <c r="I887" s="6"/>
      <c r="J887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887" s="21"/>
      <c r="L887" s="7"/>
      <c r="M887" s="41"/>
      <c r="N887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887" s="26" t="str">
        <f>IF(
   T_Channel[[#This Row],[ProviderName]]="",
   "",
   COUNTIF($N$12:$N$9982,T_Channel[[#This Row],[ProviderName]])
)</f>
        <v/>
      </c>
      <c r="P887" s="26" t="str">
        <f>IF(
   T_Channel[[#This Row],[Check]]&lt;&gt;"OK",
   "",
   IF(
      T_Channel[[#This Row],[Query]]="",
      "Empty",
      "Defined"
   )
)</f>
        <v/>
      </c>
      <c r="Q887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887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887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88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887" s="20" t="str">
        <f>IF(
   T_Channel[[#This Row],[Check]]&lt;&gt;"OK",
   "",
   T_Channel[[#This Row],[ChannelSymbol]] &amp; ".evtx"
)</f>
        <v/>
      </c>
      <c r="V887" s="20" t="str">
        <f>IF(
   T_Channel[[#This Row],[Check]]&lt;&gt;"OK",
   "",
   T_Channel[[#This Row],[LogFolder]] &amp; "\" &amp; T_Channel[[#This Row],[LogFile]]
)</f>
        <v/>
      </c>
      <c r="W887" s="20" t="str">
        <f>IF(
   T_Channel[[#This Row],[Safekeeping of logs]]="",
   "",
   VLOOKUP(T_Channel[[#This Row],[Safekeeping of logs]],T_List_LogMode[],2,FALSE)
)</f>
        <v/>
      </c>
      <c r="X887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888" spans="2:24" x14ac:dyDescent="0.45">
      <c r="B888" s="7"/>
      <c r="C888" s="7"/>
      <c r="D888" s="7"/>
      <c r="E888" s="7"/>
      <c r="F888" s="6"/>
      <c r="G888" s="6"/>
      <c r="H888" s="6"/>
      <c r="I888" s="6"/>
      <c r="J888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888" s="21"/>
      <c r="L888" s="7"/>
      <c r="M888" s="41"/>
      <c r="N888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888" s="26" t="str">
        <f>IF(
   T_Channel[[#This Row],[ProviderName]]="",
   "",
   COUNTIF($N$12:$N$9982,T_Channel[[#This Row],[ProviderName]])
)</f>
        <v/>
      </c>
      <c r="P888" s="26" t="str">
        <f>IF(
   T_Channel[[#This Row],[Check]]&lt;&gt;"OK",
   "",
   IF(
      T_Channel[[#This Row],[Query]]="",
      "Empty",
      "Defined"
   )
)</f>
        <v/>
      </c>
      <c r="Q888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888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888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88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888" s="20" t="str">
        <f>IF(
   T_Channel[[#This Row],[Check]]&lt;&gt;"OK",
   "",
   T_Channel[[#This Row],[ChannelSymbol]] &amp; ".evtx"
)</f>
        <v/>
      </c>
      <c r="V888" s="20" t="str">
        <f>IF(
   T_Channel[[#This Row],[Check]]&lt;&gt;"OK",
   "",
   T_Channel[[#This Row],[LogFolder]] &amp; "\" &amp; T_Channel[[#This Row],[LogFile]]
)</f>
        <v/>
      </c>
      <c r="W888" s="20" t="str">
        <f>IF(
   T_Channel[[#This Row],[Safekeeping of logs]]="",
   "",
   VLOOKUP(T_Channel[[#This Row],[Safekeeping of logs]],T_List_LogMode[],2,FALSE)
)</f>
        <v/>
      </c>
      <c r="X888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889" spans="2:24" x14ac:dyDescent="0.45">
      <c r="B889" s="7"/>
      <c r="C889" s="7"/>
      <c r="D889" s="7"/>
      <c r="E889" s="7"/>
      <c r="F889" s="6"/>
      <c r="G889" s="6"/>
      <c r="H889" s="6"/>
      <c r="I889" s="6"/>
      <c r="J889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889" s="21"/>
      <c r="L889" s="7"/>
      <c r="M889" s="41"/>
      <c r="N889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889" s="26" t="str">
        <f>IF(
   T_Channel[[#This Row],[ProviderName]]="",
   "",
   COUNTIF($N$12:$N$9982,T_Channel[[#This Row],[ProviderName]])
)</f>
        <v/>
      </c>
      <c r="P889" s="26" t="str">
        <f>IF(
   T_Channel[[#This Row],[Check]]&lt;&gt;"OK",
   "",
   IF(
      T_Channel[[#This Row],[Query]]="",
      "Empty",
      "Defined"
   )
)</f>
        <v/>
      </c>
      <c r="Q889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889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889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88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889" s="20" t="str">
        <f>IF(
   T_Channel[[#This Row],[Check]]&lt;&gt;"OK",
   "",
   T_Channel[[#This Row],[ChannelSymbol]] &amp; ".evtx"
)</f>
        <v/>
      </c>
      <c r="V889" s="20" t="str">
        <f>IF(
   T_Channel[[#This Row],[Check]]&lt;&gt;"OK",
   "",
   T_Channel[[#This Row],[LogFolder]] &amp; "\" &amp; T_Channel[[#This Row],[LogFile]]
)</f>
        <v/>
      </c>
      <c r="W889" s="20" t="str">
        <f>IF(
   T_Channel[[#This Row],[Safekeeping of logs]]="",
   "",
   VLOOKUP(T_Channel[[#This Row],[Safekeeping of logs]],T_List_LogMode[],2,FALSE)
)</f>
        <v/>
      </c>
      <c r="X889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890" spans="2:24" x14ac:dyDescent="0.45">
      <c r="B890" s="7"/>
      <c r="C890" s="7"/>
      <c r="D890" s="7"/>
      <c r="E890" s="7"/>
      <c r="F890" s="6"/>
      <c r="G890" s="6"/>
      <c r="H890" s="6"/>
      <c r="I890" s="6"/>
      <c r="J890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890" s="21"/>
      <c r="L890" s="7"/>
      <c r="M890" s="41"/>
      <c r="N890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890" s="26" t="str">
        <f>IF(
   T_Channel[[#This Row],[ProviderName]]="",
   "",
   COUNTIF($N$12:$N$9982,T_Channel[[#This Row],[ProviderName]])
)</f>
        <v/>
      </c>
      <c r="P890" s="26" t="str">
        <f>IF(
   T_Channel[[#This Row],[Check]]&lt;&gt;"OK",
   "",
   IF(
      T_Channel[[#This Row],[Query]]="",
      "Empty",
      "Defined"
   )
)</f>
        <v/>
      </c>
      <c r="Q890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890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890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89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890" s="20" t="str">
        <f>IF(
   T_Channel[[#This Row],[Check]]&lt;&gt;"OK",
   "",
   T_Channel[[#This Row],[ChannelSymbol]] &amp; ".evtx"
)</f>
        <v/>
      </c>
      <c r="V890" s="20" t="str">
        <f>IF(
   T_Channel[[#This Row],[Check]]&lt;&gt;"OK",
   "",
   T_Channel[[#This Row],[LogFolder]] &amp; "\" &amp; T_Channel[[#This Row],[LogFile]]
)</f>
        <v/>
      </c>
      <c r="W890" s="20" t="str">
        <f>IF(
   T_Channel[[#This Row],[Safekeeping of logs]]="",
   "",
   VLOOKUP(T_Channel[[#This Row],[Safekeeping of logs]],T_List_LogMode[],2,FALSE)
)</f>
        <v/>
      </c>
      <c r="X890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891" spans="2:24" x14ac:dyDescent="0.45">
      <c r="B891" s="7"/>
      <c r="C891" s="7"/>
      <c r="D891" s="7"/>
      <c r="E891" s="7"/>
      <c r="F891" s="6"/>
      <c r="G891" s="6"/>
      <c r="H891" s="6"/>
      <c r="I891" s="6"/>
      <c r="J891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891" s="21"/>
      <c r="L891" s="7"/>
      <c r="M891" s="41"/>
      <c r="N891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891" s="26" t="str">
        <f>IF(
   T_Channel[[#This Row],[ProviderName]]="",
   "",
   COUNTIF($N$12:$N$9982,T_Channel[[#This Row],[ProviderName]])
)</f>
        <v/>
      </c>
      <c r="P891" s="26" t="str">
        <f>IF(
   T_Channel[[#This Row],[Check]]&lt;&gt;"OK",
   "",
   IF(
      T_Channel[[#This Row],[Query]]="",
      "Empty",
      "Defined"
   )
)</f>
        <v/>
      </c>
      <c r="Q891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891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891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89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891" s="20" t="str">
        <f>IF(
   T_Channel[[#This Row],[Check]]&lt;&gt;"OK",
   "",
   T_Channel[[#This Row],[ChannelSymbol]] &amp; ".evtx"
)</f>
        <v/>
      </c>
      <c r="V891" s="20" t="str">
        <f>IF(
   T_Channel[[#This Row],[Check]]&lt;&gt;"OK",
   "",
   T_Channel[[#This Row],[LogFolder]] &amp; "\" &amp; T_Channel[[#This Row],[LogFile]]
)</f>
        <v/>
      </c>
      <c r="W891" s="20" t="str">
        <f>IF(
   T_Channel[[#This Row],[Safekeeping of logs]]="",
   "",
   VLOOKUP(T_Channel[[#This Row],[Safekeeping of logs]],T_List_LogMode[],2,FALSE)
)</f>
        <v/>
      </c>
      <c r="X891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892" spans="2:24" x14ac:dyDescent="0.45">
      <c r="B892" s="7"/>
      <c r="C892" s="7"/>
      <c r="D892" s="7"/>
      <c r="E892" s="7"/>
      <c r="F892" s="6"/>
      <c r="G892" s="6"/>
      <c r="H892" s="6"/>
      <c r="I892" s="6"/>
      <c r="J892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892" s="21"/>
      <c r="L892" s="7"/>
      <c r="M892" s="41"/>
      <c r="N892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892" s="26" t="str">
        <f>IF(
   T_Channel[[#This Row],[ProviderName]]="",
   "",
   COUNTIF($N$12:$N$9982,T_Channel[[#This Row],[ProviderName]])
)</f>
        <v/>
      </c>
      <c r="P892" s="26" t="str">
        <f>IF(
   T_Channel[[#This Row],[Check]]&lt;&gt;"OK",
   "",
   IF(
      T_Channel[[#This Row],[Query]]="",
      "Empty",
      "Defined"
   )
)</f>
        <v/>
      </c>
      <c r="Q892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892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892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89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892" s="20" t="str">
        <f>IF(
   T_Channel[[#This Row],[Check]]&lt;&gt;"OK",
   "",
   T_Channel[[#This Row],[ChannelSymbol]] &amp; ".evtx"
)</f>
        <v/>
      </c>
      <c r="V892" s="20" t="str">
        <f>IF(
   T_Channel[[#This Row],[Check]]&lt;&gt;"OK",
   "",
   T_Channel[[#This Row],[LogFolder]] &amp; "\" &amp; T_Channel[[#This Row],[LogFile]]
)</f>
        <v/>
      </c>
      <c r="W892" s="20" t="str">
        <f>IF(
   T_Channel[[#This Row],[Safekeeping of logs]]="",
   "",
   VLOOKUP(T_Channel[[#This Row],[Safekeeping of logs]],T_List_LogMode[],2,FALSE)
)</f>
        <v/>
      </c>
      <c r="X892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893" spans="2:24" x14ac:dyDescent="0.45">
      <c r="B893" s="7"/>
      <c r="C893" s="7"/>
      <c r="D893" s="7"/>
      <c r="E893" s="7"/>
      <c r="F893" s="6"/>
      <c r="G893" s="6"/>
      <c r="H893" s="6"/>
      <c r="I893" s="6"/>
      <c r="J893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893" s="21"/>
      <c r="L893" s="7"/>
      <c r="M893" s="41"/>
      <c r="N893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893" s="26" t="str">
        <f>IF(
   T_Channel[[#This Row],[ProviderName]]="",
   "",
   COUNTIF($N$12:$N$9982,T_Channel[[#This Row],[ProviderName]])
)</f>
        <v/>
      </c>
      <c r="P893" s="26" t="str">
        <f>IF(
   T_Channel[[#This Row],[Check]]&lt;&gt;"OK",
   "",
   IF(
      T_Channel[[#This Row],[Query]]="",
      "Empty",
      "Defined"
   )
)</f>
        <v/>
      </c>
      <c r="Q893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893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893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89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893" s="20" t="str">
        <f>IF(
   T_Channel[[#This Row],[Check]]&lt;&gt;"OK",
   "",
   T_Channel[[#This Row],[ChannelSymbol]] &amp; ".evtx"
)</f>
        <v/>
      </c>
      <c r="V893" s="20" t="str">
        <f>IF(
   T_Channel[[#This Row],[Check]]&lt;&gt;"OK",
   "",
   T_Channel[[#This Row],[LogFolder]] &amp; "\" &amp; T_Channel[[#This Row],[LogFile]]
)</f>
        <v/>
      </c>
      <c r="W893" s="20" t="str">
        <f>IF(
   T_Channel[[#This Row],[Safekeeping of logs]]="",
   "",
   VLOOKUP(T_Channel[[#This Row],[Safekeeping of logs]],T_List_LogMode[],2,FALSE)
)</f>
        <v/>
      </c>
      <c r="X893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894" spans="2:24" x14ac:dyDescent="0.45">
      <c r="B894" s="7"/>
      <c r="C894" s="7"/>
      <c r="D894" s="7"/>
      <c r="E894" s="7"/>
      <c r="F894" s="6"/>
      <c r="G894" s="6"/>
      <c r="H894" s="6"/>
      <c r="I894" s="6"/>
      <c r="J894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894" s="21"/>
      <c r="L894" s="7"/>
      <c r="M894" s="41"/>
      <c r="N894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894" s="26" t="str">
        <f>IF(
   T_Channel[[#This Row],[ProviderName]]="",
   "",
   COUNTIF($N$12:$N$9982,T_Channel[[#This Row],[ProviderName]])
)</f>
        <v/>
      </c>
      <c r="P894" s="26" t="str">
        <f>IF(
   T_Channel[[#This Row],[Check]]&lt;&gt;"OK",
   "",
   IF(
      T_Channel[[#This Row],[Query]]="",
      "Empty",
      "Defined"
   )
)</f>
        <v/>
      </c>
      <c r="Q894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894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894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89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894" s="20" t="str">
        <f>IF(
   T_Channel[[#This Row],[Check]]&lt;&gt;"OK",
   "",
   T_Channel[[#This Row],[ChannelSymbol]] &amp; ".evtx"
)</f>
        <v/>
      </c>
      <c r="V894" s="20" t="str">
        <f>IF(
   T_Channel[[#This Row],[Check]]&lt;&gt;"OK",
   "",
   T_Channel[[#This Row],[LogFolder]] &amp; "\" &amp; T_Channel[[#This Row],[LogFile]]
)</f>
        <v/>
      </c>
      <c r="W894" s="20" t="str">
        <f>IF(
   T_Channel[[#This Row],[Safekeeping of logs]]="",
   "",
   VLOOKUP(T_Channel[[#This Row],[Safekeeping of logs]],T_List_LogMode[],2,FALSE)
)</f>
        <v/>
      </c>
      <c r="X894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895" spans="2:24" x14ac:dyDescent="0.45">
      <c r="B895" s="7"/>
      <c r="C895" s="7"/>
      <c r="D895" s="7"/>
      <c r="E895" s="7"/>
      <c r="F895" s="6"/>
      <c r="G895" s="6"/>
      <c r="H895" s="6"/>
      <c r="I895" s="6"/>
      <c r="J895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895" s="21"/>
      <c r="L895" s="7"/>
      <c r="M895" s="41"/>
      <c r="N895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895" s="26" t="str">
        <f>IF(
   T_Channel[[#This Row],[ProviderName]]="",
   "",
   COUNTIF($N$12:$N$9982,T_Channel[[#This Row],[ProviderName]])
)</f>
        <v/>
      </c>
      <c r="P895" s="26" t="str">
        <f>IF(
   T_Channel[[#This Row],[Check]]&lt;&gt;"OK",
   "",
   IF(
      T_Channel[[#This Row],[Query]]="",
      "Empty",
      "Defined"
   )
)</f>
        <v/>
      </c>
      <c r="Q895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895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895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89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895" s="20" t="str">
        <f>IF(
   T_Channel[[#This Row],[Check]]&lt;&gt;"OK",
   "",
   T_Channel[[#This Row],[ChannelSymbol]] &amp; ".evtx"
)</f>
        <v/>
      </c>
      <c r="V895" s="20" t="str">
        <f>IF(
   T_Channel[[#This Row],[Check]]&lt;&gt;"OK",
   "",
   T_Channel[[#This Row],[LogFolder]] &amp; "\" &amp; T_Channel[[#This Row],[LogFile]]
)</f>
        <v/>
      </c>
      <c r="W895" s="20" t="str">
        <f>IF(
   T_Channel[[#This Row],[Safekeeping of logs]]="",
   "",
   VLOOKUP(T_Channel[[#This Row],[Safekeeping of logs]],T_List_LogMode[],2,FALSE)
)</f>
        <v/>
      </c>
      <c r="X895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896" spans="2:24" x14ac:dyDescent="0.45">
      <c r="B896" s="7"/>
      <c r="C896" s="7"/>
      <c r="D896" s="7"/>
      <c r="E896" s="7"/>
      <c r="F896" s="6"/>
      <c r="G896" s="6"/>
      <c r="H896" s="6"/>
      <c r="I896" s="6"/>
      <c r="J896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896" s="21"/>
      <c r="L896" s="7"/>
      <c r="M896" s="41"/>
      <c r="N896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896" s="26" t="str">
        <f>IF(
   T_Channel[[#This Row],[ProviderName]]="",
   "",
   COUNTIF($N$12:$N$9982,T_Channel[[#This Row],[ProviderName]])
)</f>
        <v/>
      </c>
      <c r="P896" s="26" t="str">
        <f>IF(
   T_Channel[[#This Row],[Check]]&lt;&gt;"OK",
   "",
   IF(
      T_Channel[[#This Row],[Query]]="",
      "Empty",
      "Defined"
   )
)</f>
        <v/>
      </c>
      <c r="Q896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896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896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89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896" s="20" t="str">
        <f>IF(
   T_Channel[[#This Row],[Check]]&lt;&gt;"OK",
   "",
   T_Channel[[#This Row],[ChannelSymbol]] &amp; ".evtx"
)</f>
        <v/>
      </c>
      <c r="V896" s="20" t="str">
        <f>IF(
   T_Channel[[#This Row],[Check]]&lt;&gt;"OK",
   "",
   T_Channel[[#This Row],[LogFolder]] &amp; "\" &amp; T_Channel[[#This Row],[LogFile]]
)</f>
        <v/>
      </c>
      <c r="W896" s="20" t="str">
        <f>IF(
   T_Channel[[#This Row],[Safekeeping of logs]]="",
   "",
   VLOOKUP(T_Channel[[#This Row],[Safekeeping of logs]],T_List_LogMode[],2,FALSE)
)</f>
        <v/>
      </c>
      <c r="X896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897" spans="2:24" x14ac:dyDescent="0.45">
      <c r="B897" s="7"/>
      <c r="C897" s="7"/>
      <c r="D897" s="7"/>
      <c r="E897" s="7"/>
      <c r="F897" s="6"/>
      <c r="G897" s="6"/>
      <c r="H897" s="6"/>
      <c r="I897" s="6"/>
      <c r="J897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897" s="21"/>
      <c r="L897" s="7"/>
      <c r="M897" s="41"/>
      <c r="N897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897" s="26" t="str">
        <f>IF(
   T_Channel[[#This Row],[ProviderName]]="",
   "",
   COUNTIF($N$12:$N$9982,T_Channel[[#This Row],[ProviderName]])
)</f>
        <v/>
      </c>
      <c r="P897" s="26" t="str">
        <f>IF(
   T_Channel[[#This Row],[Check]]&lt;&gt;"OK",
   "",
   IF(
      T_Channel[[#This Row],[Query]]="",
      "Empty",
      "Defined"
   )
)</f>
        <v/>
      </c>
      <c r="Q897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897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897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89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897" s="20" t="str">
        <f>IF(
   T_Channel[[#This Row],[Check]]&lt;&gt;"OK",
   "",
   T_Channel[[#This Row],[ChannelSymbol]] &amp; ".evtx"
)</f>
        <v/>
      </c>
      <c r="V897" s="20" t="str">
        <f>IF(
   T_Channel[[#This Row],[Check]]&lt;&gt;"OK",
   "",
   T_Channel[[#This Row],[LogFolder]] &amp; "\" &amp; T_Channel[[#This Row],[LogFile]]
)</f>
        <v/>
      </c>
      <c r="W897" s="20" t="str">
        <f>IF(
   T_Channel[[#This Row],[Safekeeping of logs]]="",
   "",
   VLOOKUP(T_Channel[[#This Row],[Safekeeping of logs]],T_List_LogMode[],2,FALSE)
)</f>
        <v/>
      </c>
      <c r="X897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898" spans="2:24" x14ac:dyDescent="0.45">
      <c r="B898" s="7"/>
      <c r="C898" s="7"/>
      <c r="D898" s="7"/>
      <c r="E898" s="7"/>
      <c r="F898" s="6"/>
      <c r="G898" s="6"/>
      <c r="H898" s="6"/>
      <c r="I898" s="6"/>
      <c r="J898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898" s="21"/>
      <c r="L898" s="7"/>
      <c r="M898" s="41"/>
      <c r="N898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898" s="26" t="str">
        <f>IF(
   T_Channel[[#This Row],[ProviderName]]="",
   "",
   COUNTIF($N$12:$N$9982,T_Channel[[#This Row],[ProviderName]])
)</f>
        <v/>
      </c>
      <c r="P898" s="26" t="str">
        <f>IF(
   T_Channel[[#This Row],[Check]]&lt;&gt;"OK",
   "",
   IF(
      T_Channel[[#This Row],[Query]]="",
      "Empty",
      "Defined"
   )
)</f>
        <v/>
      </c>
      <c r="Q898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898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898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89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898" s="20" t="str">
        <f>IF(
   T_Channel[[#This Row],[Check]]&lt;&gt;"OK",
   "",
   T_Channel[[#This Row],[ChannelSymbol]] &amp; ".evtx"
)</f>
        <v/>
      </c>
      <c r="V898" s="20" t="str">
        <f>IF(
   T_Channel[[#This Row],[Check]]&lt;&gt;"OK",
   "",
   T_Channel[[#This Row],[LogFolder]] &amp; "\" &amp; T_Channel[[#This Row],[LogFile]]
)</f>
        <v/>
      </c>
      <c r="W898" s="20" t="str">
        <f>IF(
   T_Channel[[#This Row],[Safekeeping of logs]]="",
   "",
   VLOOKUP(T_Channel[[#This Row],[Safekeeping of logs]],T_List_LogMode[],2,FALSE)
)</f>
        <v/>
      </c>
      <c r="X898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899" spans="2:24" x14ac:dyDescent="0.45">
      <c r="B899" s="7"/>
      <c r="C899" s="7"/>
      <c r="D899" s="7"/>
      <c r="E899" s="7"/>
      <c r="F899" s="6"/>
      <c r="G899" s="6"/>
      <c r="H899" s="6"/>
      <c r="I899" s="6"/>
      <c r="J899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899" s="21"/>
      <c r="L899" s="7"/>
      <c r="M899" s="41"/>
      <c r="N899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899" s="26" t="str">
        <f>IF(
   T_Channel[[#This Row],[ProviderName]]="",
   "",
   COUNTIF($N$12:$N$9982,T_Channel[[#This Row],[ProviderName]])
)</f>
        <v/>
      </c>
      <c r="P899" s="26" t="str">
        <f>IF(
   T_Channel[[#This Row],[Check]]&lt;&gt;"OK",
   "",
   IF(
      T_Channel[[#This Row],[Query]]="",
      "Empty",
      "Defined"
   )
)</f>
        <v/>
      </c>
      <c r="Q899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899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899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89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899" s="20" t="str">
        <f>IF(
   T_Channel[[#This Row],[Check]]&lt;&gt;"OK",
   "",
   T_Channel[[#This Row],[ChannelSymbol]] &amp; ".evtx"
)</f>
        <v/>
      </c>
      <c r="V899" s="20" t="str">
        <f>IF(
   T_Channel[[#This Row],[Check]]&lt;&gt;"OK",
   "",
   T_Channel[[#This Row],[LogFolder]] &amp; "\" &amp; T_Channel[[#This Row],[LogFile]]
)</f>
        <v/>
      </c>
      <c r="W899" s="20" t="str">
        <f>IF(
   T_Channel[[#This Row],[Safekeeping of logs]]="",
   "",
   VLOOKUP(T_Channel[[#This Row],[Safekeeping of logs]],T_List_LogMode[],2,FALSE)
)</f>
        <v/>
      </c>
      <c r="X899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900" spans="2:24" x14ac:dyDescent="0.45">
      <c r="B900" s="7"/>
      <c r="C900" s="7"/>
      <c r="D900" s="7"/>
      <c r="E900" s="7"/>
      <c r="F900" s="6"/>
      <c r="G900" s="6"/>
      <c r="H900" s="6"/>
      <c r="I900" s="6"/>
      <c r="J900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900" s="21"/>
      <c r="L900" s="7"/>
      <c r="M900" s="41"/>
      <c r="N900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900" s="26" t="str">
        <f>IF(
   T_Channel[[#This Row],[ProviderName]]="",
   "",
   COUNTIF($N$12:$N$9982,T_Channel[[#This Row],[ProviderName]])
)</f>
        <v/>
      </c>
      <c r="P900" s="26" t="str">
        <f>IF(
   T_Channel[[#This Row],[Check]]&lt;&gt;"OK",
   "",
   IF(
      T_Channel[[#This Row],[Query]]="",
      "Empty",
      "Defined"
   )
)</f>
        <v/>
      </c>
      <c r="Q900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900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900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90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900" s="20" t="str">
        <f>IF(
   T_Channel[[#This Row],[Check]]&lt;&gt;"OK",
   "",
   T_Channel[[#This Row],[ChannelSymbol]] &amp; ".evtx"
)</f>
        <v/>
      </c>
      <c r="V900" s="20" t="str">
        <f>IF(
   T_Channel[[#This Row],[Check]]&lt;&gt;"OK",
   "",
   T_Channel[[#This Row],[LogFolder]] &amp; "\" &amp; T_Channel[[#This Row],[LogFile]]
)</f>
        <v/>
      </c>
      <c r="W900" s="20" t="str">
        <f>IF(
   T_Channel[[#This Row],[Safekeeping of logs]]="",
   "",
   VLOOKUP(T_Channel[[#This Row],[Safekeeping of logs]],T_List_LogMode[],2,FALSE)
)</f>
        <v/>
      </c>
      <c r="X900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901" spans="2:24" x14ac:dyDescent="0.45">
      <c r="B901" s="7"/>
      <c r="C901" s="7"/>
      <c r="D901" s="7"/>
      <c r="E901" s="7"/>
      <c r="F901" s="6"/>
      <c r="G901" s="6"/>
      <c r="H901" s="6"/>
      <c r="I901" s="6"/>
      <c r="J901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901" s="21"/>
      <c r="L901" s="7"/>
      <c r="M901" s="41"/>
      <c r="N901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901" s="26" t="str">
        <f>IF(
   T_Channel[[#This Row],[ProviderName]]="",
   "",
   COUNTIF($N$12:$N$9982,T_Channel[[#This Row],[ProviderName]])
)</f>
        <v/>
      </c>
      <c r="P901" s="26" t="str">
        <f>IF(
   T_Channel[[#This Row],[Check]]&lt;&gt;"OK",
   "",
   IF(
      T_Channel[[#This Row],[Query]]="",
      "Empty",
      "Defined"
   )
)</f>
        <v/>
      </c>
      <c r="Q901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901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901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90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901" s="20" t="str">
        <f>IF(
   T_Channel[[#This Row],[Check]]&lt;&gt;"OK",
   "",
   T_Channel[[#This Row],[ChannelSymbol]] &amp; ".evtx"
)</f>
        <v/>
      </c>
      <c r="V901" s="20" t="str">
        <f>IF(
   T_Channel[[#This Row],[Check]]&lt;&gt;"OK",
   "",
   T_Channel[[#This Row],[LogFolder]] &amp; "\" &amp; T_Channel[[#This Row],[LogFile]]
)</f>
        <v/>
      </c>
      <c r="W901" s="20" t="str">
        <f>IF(
   T_Channel[[#This Row],[Safekeeping of logs]]="",
   "",
   VLOOKUP(T_Channel[[#This Row],[Safekeeping of logs]],T_List_LogMode[],2,FALSE)
)</f>
        <v/>
      </c>
      <c r="X901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902" spans="2:24" x14ac:dyDescent="0.45">
      <c r="B902" s="7"/>
      <c r="C902" s="7"/>
      <c r="D902" s="7"/>
      <c r="E902" s="7"/>
      <c r="F902" s="6"/>
      <c r="G902" s="6"/>
      <c r="H902" s="6"/>
      <c r="I902" s="6"/>
      <c r="J902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902" s="21"/>
      <c r="L902" s="7"/>
      <c r="M902" s="41"/>
      <c r="N902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902" s="26" t="str">
        <f>IF(
   T_Channel[[#This Row],[ProviderName]]="",
   "",
   COUNTIF($N$12:$N$9982,T_Channel[[#This Row],[ProviderName]])
)</f>
        <v/>
      </c>
      <c r="P902" s="26" t="str">
        <f>IF(
   T_Channel[[#This Row],[Check]]&lt;&gt;"OK",
   "",
   IF(
      T_Channel[[#This Row],[Query]]="",
      "Empty",
      "Defined"
   )
)</f>
        <v/>
      </c>
      <c r="Q902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902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902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90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902" s="20" t="str">
        <f>IF(
   T_Channel[[#This Row],[Check]]&lt;&gt;"OK",
   "",
   T_Channel[[#This Row],[ChannelSymbol]] &amp; ".evtx"
)</f>
        <v/>
      </c>
      <c r="V902" s="20" t="str">
        <f>IF(
   T_Channel[[#This Row],[Check]]&lt;&gt;"OK",
   "",
   T_Channel[[#This Row],[LogFolder]] &amp; "\" &amp; T_Channel[[#This Row],[LogFile]]
)</f>
        <v/>
      </c>
      <c r="W902" s="20" t="str">
        <f>IF(
   T_Channel[[#This Row],[Safekeeping of logs]]="",
   "",
   VLOOKUP(T_Channel[[#This Row],[Safekeeping of logs]],T_List_LogMode[],2,FALSE)
)</f>
        <v/>
      </c>
      <c r="X902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903" spans="2:24" x14ac:dyDescent="0.45">
      <c r="B903" s="7"/>
      <c r="C903" s="7"/>
      <c r="D903" s="7"/>
      <c r="E903" s="7"/>
      <c r="F903" s="6"/>
      <c r="G903" s="6"/>
      <c r="H903" s="6"/>
      <c r="I903" s="6"/>
      <c r="J903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903" s="21"/>
      <c r="L903" s="7"/>
      <c r="M903" s="41"/>
      <c r="N903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903" s="26" t="str">
        <f>IF(
   T_Channel[[#This Row],[ProviderName]]="",
   "",
   COUNTIF($N$12:$N$9982,T_Channel[[#This Row],[ProviderName]])
)</f>
        <v/>
      </c>
      <c r="P903" s="26" t="str">
        <f>IF(
   T_Channel[[#This Row],[Check]]&lt;&gt;"OK",
   "",
   IF(
      T_Channel[[#This Row],[Query]]="",
      "Empty",
      "Defined"
   )
)</f>
        <v/>
      </c>
      <c r="Q903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903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903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90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903" s="20" t="str">
        <f>IF(
   T_Channel[[#This Row],[Check]]&lt;&gt;"OK",
   "",
   T_Channel[[#This Row],[ChannelSymbol]] &amp; ".evtx"
)</f>
        <v/>
      </c>
      <c r="V903" s="20" t="str">
        <f>IF(
   T_Channel[[#This Row],[Check]]&lt;&gt;"OK",
   "",
   T_Channel[[#This Row],[LogFolder]] &amp; "\" &amp; T_Channel[[#This Row],[LogFile]]
)</f>
        <v/>
      </c>
      <c r="W903" s="20" t="str">
        <f>IF(
   T_Channel[[#This Row],[Safekeeping of logs]]="",
   "",
   VLOOKUP(T_Channel[[#This Row],[Safekeeping of logs]],T_List_LogMode[],2,FALSE)
)</f>
        <v/>
      </c>
      <c r="X903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904" spans="2:24" x14ac:dyDescent="0.45">
      <c r="B904" s="7"/>
      <c r="C904" s="7"/>
      <c r="D904" s="7"/>
      <c r="E904" s="7"/>
      <c r="F904" s="6"/>
      <c r="G904" s="6"/>
      <c r="H904" s="6"/>
      <c r="I904" s="6"/>
      <c r="J904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904" s="21"/>
      <c r="L904" s="7"/>
      <c r="M904" s="41"/>
      <c r="N904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904" s="26" t="str">
        <f>IF(
   T_Channel[[#This Row],[ProviderName]]="",
   "",
   COUNTIF($N$12:$N$9982,T_Channel[[#This Row],[ProviderName]])
)</f>
        <v/>
      </c>
      <c r="P904" s="26" t="str">
        <f>IF(
   T_Channel[[#This Row],[Check]]&lt;&gt;"OK",
   "",
   IF(
      T_Channel[[#This Row],[Query]]="",
      "Empty",
      "Defined"
   )
)</f>
        <v/>
      </c>
      <c r="Q904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904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904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90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904" s="20" t="str">
        <f>IF(
   T_Channel[[#This Row],[Check]]&lt;&gt;"OK",
   "",
   T_Channel[[#This Row],[ChannelSymbol]] &amp; ".evtx"
)</f>
        <v/>
      </c>
      <c r="V904" s="20" t="str">
        <f>IF(
   T_Channel[[#This Row],[Check]]&lt;&gt;"OK",
   "",
   T_Channel[[#This Row],[LogFolder]] &amp; "\" &amp; T_Channel[[#This Row],[LogFile]]
)</f>
        <v/>
      </c>
      <c r="W904" s="20" t="str">
        <f>IF(
   T_Channel[[#This Row],[Safekeeping of logs]]="",
   "",
   VLOOKUP(T_Channel[[#This Row],[Safekeeping of logs]],T_List_LogMode[],2,FALSE)
)</f>
        <v/>
      </c>
      <c r="X904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905" spans="2:24" x14ac:dyDescent="0.45">
      <c r="B905" s="7"/>
      <c r="C905" s="7"/>
      <c r="D905" s="7"/>
      <c r="E905" s="7"/>
      <c r="F905" s="6"/>
      <c r="G905" s="6"/>
      <c r="H905" s="6"/>
      <c r="I905" s="6"/>
      <c r="J905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905" s="21"/>
      <c r="L905" s="7"/>
      <c r="M905" s="41"/>
      <c r="N905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905" s="26" t="str">
        <f>IF(
   T_Channel[[#This Row],[ProviderName]]="",
   "",
   COUNTIF($N$12:$N$9982,T_Channel[[#This Row],[ProviderName]])
)</f>
        <v/>
      </c>
      <c r="P905" s="26" t="str">
        <f>IF(
   T_Channel[[#This Row],[Check]]&lt;&gt;"OK",
   "",
   IF(
      T_Channel[[#This Row],[Query]]="",
      "Empty",
      "Defined"
   )
)</f>
        <v/>
      </c>
      <c r="Q905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905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905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90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905" s="20" t="str">
        <f>IF(
   T_Channel[[#This Row],[Check]]&lt;&gt;"OK",
   "",
   T_Channel[[#This Row],[ChannelSymbol]] &amp; ".evtx"
)</f>
        <v/>
      </c>
      <c r="V905" s="20" t="str">
        <f>IF(
   T_Channel[[#This Row],[Check]]&lt;&gt;"OK",
   "",
   T_Channel[[#This Row],[LogFolder]] &amp; "\" &amp; T_Channel[[#This Row],[LogFile]]
)</f>
        <v/>
      </c>
      <c r="W905" s="20" t="str">
        <f>IF(
   T_Channel[[#This Row],[Safekeeping of logs]]="",
   "",
   VLOOKUP(T_Channel[[#This Row],[Safekeeping of logs]],T_List_LogMode[],2,FALSE)
)</f>
        <v/>
      </c>
      <c r="X905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906" spans="2:24" x14ac:dyDescent="0.45">
      <c r="B906" s="7"/>
      <c r="C906" s="7"/>
      <c r="D906" s="7"/>
      <c r="E906" s="7"/>
      <c r="F906" s="6"/>
      <c r="G906" s="6"/>
      <c r="H906" s="6"/>
      <c r="I906" s="6"/>
      <c r="J906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906" s="21"/>
      <c r="L906" s="7"/>
      <c r="M906" s="41"/>
      <c r="N906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906" s="26" t="str">
        <f>IF(
   T_Channel[[#This Row],[ProviderName]]="",
   "",
   COUNTIF($N$12:$N$9982,T_Channel[[#This Row],[ProviderName]])
)</f>
        <v/>
      </c>
      <c r="P906" s="26" t="str">
        <f>IF(
   T_Channel[[#This Row],[Check]]&lt;&gt;"OK",
   "",
   IF(
      T_Channel[[#This Row],[Query]]="",
      "Empty",
      "Defined"
   )
)</f>
        <v/>
      </c>
      <c r="Q906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906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906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90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906" s="20" t="str">
        <f>IF(
   T_Channel[[#This Row],[Check]]&lt;&gt;"OK",
   "",
   T_Channel[[#This Row],[ChannelSymbol]] &amp; ".evtx"
)</f>
        <v/>
      </c>
      <c r="V906" s="20" t="str">
        <f>IF(
   T_Channel[[#This Row],[Check]]&lt;&gt;"OK",
   "",
   T_Channel[[#This Row],[LogFolder]] &amp; "\" &amp; T_Channel[[#This Row],[LogFile]]
)</f>
        <v/>
      </c>
      <c r="W906" s="20" t="str">
        <f>IF(
   T_Channel[[#This Row],[Safekeeping of logs]]="",
   "",
   VLOOKUP(T_Channel[[#This Row],[Safekeeping of logs]],T_List_LogMode[],2,FALSE)
)</f>
        <v/>
      </c>
      <c r="X906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907" spans="2:24" x14ac:dyDescent="0.45">
      <c r="B907" s="7"/>
      <c r="C907" s="7"/>
      <c r="D907" s="7"/>
      <c r="E907" s="7"/>
      <c r="F907" s="6"/>
      <c r="G907" s="6"/>
      <c r="H907" s="6"/>
      <c r="I907" s="6"/>
      <c r="J907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907" s="21"/>
      <c r="L907" s="7"/>
      <c r="M907" s="41"/>
      <c r="N907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907" s="26" t="str">
        <f>IF(
   T_Channel[[#This Row],[ProviderName]]="",
   "",
   COUNTIF($N$12:$N$9982,T_Channel[[#This Row],[ProviderName]])
)</f>
        <v/>
      </c>
      <c r="P907" s="26" t="str">
        <f>IF(
   T_Channel[[#This Row],[Check]]&lt;&gt;"OK",
   "",
   IF(
      T_Channel[[#This Row],[Query]]="",
      "Empty",
      "Defined"
   )
)</f>
        <v/>
      </c>
      <c r="Q907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907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907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90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907" s="20" t="str">
        <f>IF(
   T_Channel[[#This Row],[Check]]&lt;&gt;"OK",
   "",
   T_Channel[[#This Row],[ChannelSymbol]] &amp; ".evtx"
)</f>
        <v/>
      </c>
      <c r="V907" s="20" t="str">
        <f>IF(
   T_Channel[[#This Row],[Check]]&lt;&gt;"OK",
   "",
   T_Channel[[#This Row],[LogFolder]] &amp; "\" &amp; T_Channel[[#This Row],[LogFile]]
)</f>
        <v/>
      </c>
      <c r="W907" s="20" t="str">
        <f>IF(
   T_Channel[[#This Row],[Safekeeping of logs]]="",
   "",
   VLOOKUP(T_Channel[[#This Row],[Safekeeping of logs]],T_List_LogMode[],2,FALSE)
)</f>
        <v/>
      </c>
      <c r="X907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908" spans="2:24" x14ac:dyDescent="0.45">
      <c r="B908" s="7"/>
      <c r="C908" s="7"/>
      <c r="D908" s="7"/>
      <c r="E908" s="7"/>
      <c r="F908" s="6"/>
      <c r="G908" s="6"/>
      <c r="H908" s="6"/>
      <c r="I908" s="6"/>
      <c r="J908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908" s="21"/>
      <c r="L908" s="7"/>
      <c r="M908" s="41"/>
      <c r="N908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908" s="26" t="str">
        <f>IF(
   T_Channel[[#This Row],[ProviderName]]="",
   "",
   COUNTIF($N$12:$N$9982,T_Channel[[#This Row],[ProviderName]])
)</f>
        <v/>
      </c>
      <c r="P908" s="26" t="str">
        <f>IF(
   T_Channel[[#This Row],[Check]]&lt;&gt;"OK",
   "",
   IF(
      T_Channel[[#This Row],[Query]]="",
      "Empty",
      "Defined"
   )
)</f>
        <v/>
      </c>
      <c r="Q908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908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908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90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908" s="20" t="str">
        <f>IF(
   T_Channel[[#This Row],[Check]]&lt;&gt;"OK",
   "",
   T_Channel[[#This Row],[ChannelSymbol]] &amp; ".evtx"
)</f>
        <v/>
      </c>
      <c r="V908" s="20" t="str">
        <f>IF(
   T_Channel[[#This Row],[Check]]&lt;&gt;"OK",
   "",
   T_Channel[[#This Row],[LogFolder]] &amp; "\" &amp; T_Channel[[#This Row],[LogFile]]
)</f>
        <v/>
      </c>
      <c r="W908" s="20" t="str">
        <f>IF(
   T_Channel[[#This Row],[Safekeeping of logs]]="",
   "",
   VLOOKUP(T_Channel[[#This Row],[Safekeeping of logs]],T_List_LogMode[],2,FALSE)
)</f>
        <v/>
      </c>
      <c r="X908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909" spans="2:24" x14ac:dyDescent="0.45">
      <c r="B909" s="7"/>
      <c r="C909" s="7"/>
      <c r="D909" s="7"/>
      <c r="E909" s="7"/>
      <c r="F909" s="6"/>
      <c r="G909" s="6"/>
      <c r="H909" s="6"/>
      <c r="I909" s="6"/>
      <c r="J909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909" s="21"/>
      <c r="L909" s="7"/>
      <c r="M909" s="41"/>
      <c r="N909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909" s="26" t="str">
        <f>IF(
   T_Channel[[#This Row],[ProviderName]]="",
   "",
   COUNTIF($N$12:$N$9982,T_Channel[[#This Row],[ProviderName]])
)</f>
        <v/>
      </c>
      <c r="P909" s="26" t="str">
        <f>IF(
   T_Channel[[#This Row],[Check]]&lt;&gt;"OK",
   "",
   IF(
      T_Channel[[#This Row],[Query]]="",
      "Empty",
      "Defined"
   )
)</f>
        <v/>
      </c>
      <c r="Q909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909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909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90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909" s="20" t="str">
        <f>IF(
   T_Channel[[#This Row],[Check]]&lt;&gt;"OK",
   "",
   T_Channel[[#This Row],[ChannelSymbol]] &amp; ".evtx"
)</f>
        <v/>
      </c>
      <c r="V909" s="20" t="str">
        <f>IF(
   T_Channel[[#This Row],[Check]]&lt;&gt;"OK",
   "",
   T_Channel[[#This Row],[LogFolder]] &amp; "\" &amp; T_Channel[[#This Row],[LogFile]]
)</f>
        <v/>
      </c>
      <c r="W909" s="20" t="str">
        <f>IF(
   T_Channel[[#This Row],[Safekeeping of logs]]="",
   "",
   VLOOKUP(T_Channel[[#This Row],[Safekeeping of logs]],T_List_LogMode[],2,FALSE)
)</f>
        <v/>
      </c>
      <c r="X909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910" spans="2:24" x14ac:dyDescent="0.45">
      <c r="B910" s="7"/>
      <c r="C910" s="7"/>
      <c r="D910" s="7"/>
      <c r="E910" s="7"/>
      <c r="F910" s="6"/>
      <c r="G910" s="6"/>
      <c r="H910" s="6"/>
      <c r="I910" s="6"/>
      <c r="J910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910" s="21"/>
      <c r="L910" s="7"/>
      <c r="M910" s="41"/>
      <c r="N910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910" s="26" t="str">
        <f>IF(
   T_Channel[[#This Row],[ProviderName]]="",
   "",
   COUNTIF($N$12:$N$9982,T_Channel[[#This Row],[ProviderName]])
)</f>
        <v/>
      </c>
      <c r="P910" s="26" t="str">
        <f>IF(
   T_Channel[[#This Row],[Check]]&lt;&gt;"OK",
   "",
   IF(
      T_Channel[[#This Row],[Query]]="",
      "Empty",
      "Defined"
   )
)</f>
        <v/>
      </c>
      <c r="Q910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910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910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91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910" s="20" t="str">
        <f>IF(
   T_Channel[[#This Row],[Check]]&lt;&gt;"OK",
   "",
   T_Channel[[#This Row],[ChannelSymbol]] &amp; ".evtx"
)</f>
        <v/>
      </c>
      <c r="V910" s="20" t="str">
        <f>IF(
   T_Channel[[#This Row],[Check]]&lt;&gt;"OK",
   "",
   T_Channel[[#This Row],[LogFolder]] &amp; "\" &amp; T_Channel[[#This Row],[LogFile]]
)</f>
        <v/>
      </c>
      <c r="W910" s="20" t="str">
        <f>IF(
   T_Channel[[#This Row],[Safekeeping of logs]]="",
   "",
   VLOOKUP(T_Channel[[#This Row],[Safekeeping of logs]],T_List_LogMode[],2,FALSE)
)</f>
        <v/>
      </c>
      <c r="X910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911" spans="2:24" x14ac:dyDescent="0.45">
      <c r="B911" s="7"/>
      <c r="C911" s="7"/>
      <c r="D911" s="7"/>
      <c r="E911" s="7"/>
      <c r="F911" s="6"/>
      <c r="G911" s="6"/>
      <c r="H911" s="6"/>
      <c r="I911" s="6"/>
      <c r="J911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911" s="21"/>
      <c r="L911" s="7"/>
      <c r="M911" s="41"/>
      <c r="N911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911" s="26" t="str">
        <f>IF(
   T_Channel[[#This Row],[ProviderName]]="",
   "",
   COUNTIF($N$12:$N$9982,T_Channel[[#This Row],[ProviderName]])
)</f>
        <v/>
      </c>
      <c r="P911" s="26" t="str">
        <f>IF(
   T_Channel[[#This Row],[Check]]&lt;&gt;"OK",
   "",
   IF(
      T_Channel[[#This Row],[Query]]="",
      "Empty",
      "Defined"
   )
)</f>
        <v/>
      </c>
      <c r="Q911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911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911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91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911" s="20" t="str">
        <f>IF(
   T_Channel[[#This Row],[Check]]&lt;&gt;"OK",
   "",
   T_Channel[[#This Row],[ChannelSymbol]] &amp; ".evtx"
)</f>
        <v/>
      </c>
      <c r="V911" s="20" t="str">
        <f>IF(
   T_Channel[[#This Row],[Check]]&lt;&gt;"OK",
   "",
   T_Channel[[#This Row],[LogFolder]] &amp; "\" &amp; T_Channel[[#This Row],[LogFile]]
)</f>
        <v/>
      </c>
      <c r="W911" s="20" t="str">
        <f>IF(
   T_Channel[[#This Row],[Safekeeping of logs]]="",
   "",
   VLOOKUP(T_Channel[[#This Row],[Safekeeping of logs]],T_List_LogMode[],2,FALSE)
)</f>
        <v/>
      </c>
      <c r="X911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912" spans="2:24" x14ac:dyDescent="0.45">
      <c r="B912" s="7"/>
      <c r="C912" s="7"/>
      <c r="D912" s="7"/>
      <c r="E912" s="7"/>
      <c r="F912" s="6"/>
      <c r="G912" s="6"/>
      <c r="H912" s="6"/>
      <c r="I912" s="6"/>
      <c r="J912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912" s="21"/>
      <c r="L912" s="7"/>
      <c r="M912" s="41"/>
      <c r="N912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912" s="26" t="str">
        <f>IF(
   T_Channel[[#This Row],[ProviderName]]="",
   "",
   COUNTIF($N$12:$N$9982,T_Channel[[#This Row],[ProviderName]])
)</f>
        <v/>
      </c>
      <c r="P912" s="26" t="str">
        <f>IF(
   T_Channel[[#This Row],[Check]]&lt;&gt;"OK",
   "",
   IF(
      T_Channel[[#This Row],[Query]]="",
      "Empty",
      "Defined"
   )
)</f>
        <v/>
      </c>
      <c r="Q912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912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912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91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912" s="20" t="str">
        <f>IF(
   T_Channel[[#This Row],[Check]]&lt;&gt;"OK",
   "",
   T_Channel[[#This Row],[ChannelSymbol]] &amp; ".evtx"
)</f>
        <v/>
      </c>
      <c r="V912" s="20" t="str">
        <f>IF(
   T_Channel[[#This Row],[Check]]&lt;&gt;"OK",
   "",
   T_Channel[[#This Row],[LogFolder]] &amp; "\" &amp; T_Channel[[#This Row],[LogFile]]
)</f>
        <v/>
      </c>
      <c r="W912" s="20" t="str">
        <f>IF(
   T_Channel[[#This Row],[Safekeeping of logs]]="",
   "",
   VLOOKUP(T_Channel[[#This Row],[Safekeeping of logs]],T_List_LogMode[],2,FALSE)
)</f>
        <v/>
      </c>
      <c r="X912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913" spans="2:24" x14ac:dyDescent="0.45">
      <c r="B913" s="7"/>
      <c r="C913" s="7"/>
      <c r="D913" s="7"/>
      <c r="E913" s="7"/>
      <c r="F913" s="6"/>
      <c r="G913" s="6"/>
      <c r="H913" s="6"/>
      <c r="I913" s="6"/>
      <c r="J913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913" s="21"/>
      <c r="L913" s="7"/>
      <c r="M913" s="41"/>
      <c r="N913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913" s="26" t="str">
        <f>IF(
   T_Channel[[#This Row],[ProviderName]]="",
   "",
   COUNTIF($N$12:$N$9982,T_Channel[[#This Row],[ProviderName]])
)</f>
        <v/>
      </c>
      <c r="P913" s="26" t="str">
        <f>IF(
   T_Channel[[#This Row],[Check]]&lt;&gt;"OK",
   "",
   IF(
      T_Channel[[#This Row],[Query]]="",
      "Empty",
      "Defined"
   )
)</f>
        <v/>
      </c>
      <c r="Q913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913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913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91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913" s="20" t="str">
        <f>IF(
   T_Channel[[#This Row],[Check]]&lt;&gt;"OK",
   "",
   T_Channel[[#This Row],[ChannelSymbol]] &amp; ".evtx"
)</f>
        <v/>
      </c>
      <c r="V913" s="20" t="str">
        <f>IF(
   T_Channel[[#This Row],[Check]]&lt;&gt;"OK",
   "",
   T_Channel[[#This Row],[LogFolder]] &amp; "\" &amp; T_Channel[[#This Row],[LogFile]]
)</f>
        <v/>
      </c>
      <c r="W913" s="20" t="str">
        <f>IF(
   T_Channel[[#This Row],[Safekeeping of logs]]="",
   "",
   VLOOKUP(T_Channel[[#This Row],[Safekeeping of logs]],T_List_LogMode[],2,FALSE)
)</f>
        <v/>
      </c>
      <c r="X913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914" spans="2:24" x14ac:dyDescent="0.45">
      <c r="B914" s="7"/>
      <c r="C914" s="7"/>
      <c r="D914" s="7"/>
      <c r="E914" s="7"/>
      <c r="F914" s="6"/>
      <c r="G914" s="6"/>
      <c r="H914" s="6"/>
      <c r="I914" s="6"/>
      <c r="J914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914" s="21"/>
      <c r="L914" s="7"/>
      <c r="M914" s="41"/>
      <c r="N914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914" s="26" t="str">
        <f>IF(
   T_Channel[[#This Row],[ProviderName]]="",
   "",
   COUNTIF($N$12:$N$9982,T_Channel[[#This Row],[ProviderName]])
)</f>
        <v/>
      </c>
      <c r="P914" s="26" t="str">
        <f>IF(
   T_Channel[[#This Row],[Check]]&lt;&gt;"OK",
   "",
   IF(
      T_Channel[[#This Row],[Query]]="",
      "Empty",
      "Defined"
   )
)</f>
        <v/>
      </c>
      <c r="Q914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914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914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91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914" s="20" t="str">
        <f>IF(
   T_Channel[[#This Row],[Check]]&lt;&gt;"OK",
   "",
   T_Channel[[#This Row],[ChannelSymbol]] &amp; ".evtx"
)</f>
        <v/>
      </c>
      <c r="V914" s="20" t="str">
        <f>IF(
   T_Channel[[#This Row],[Check]]&lt;&gt;"OK",
   "",
   T_Channel[[#This Row],[LogFolder]] &amp; "\" &amp; T_Channel[[#This Row],[LogFile]]
)</f>
        <v/>
      </c>
      <c r="W914" s="20" t="str">
        <f>IF(
   T_Channel[[#This Row],[Safekeeping of logs]]="",
   "",
   VLOOKUP(T_Channel[[#This Row],[Safekeeping of logs]],T_List_LogMode[],2,FALSE)
)</f>
        <v/>
      </c>
      <c r="X914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915" spans="2:24" x14ac:dyDescent="0.45">
      <c r="B915" s="7"/>
      <c r="C915" s="7"/>
      <c r="D915" s="7"/>
      <c r="E915" s="7"/>
      <c r="F915" s="6"/>
      <c r="G915" s="6"/>
      <c r="H915" s="6"/>
      <c r="I915" s="6"/>
      <c r="J915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915" s="21"/>
      <c r="L915" s="7"/>
      <c r="M915" s="41"/>
      <c r="N915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915" s="26" t="str">
        <f>IF(
   T_Channel[[#This Row],[ProviderName]]="",
   "",
   COUNTIF($N$12:$N$9982,T_Channel[[#This Row],[ProviderName]])
)</f>
        <v/>
      </c>
      <c r="P915" s="26" t="str">
        <f>IF(
   T_Channel[[#This Row],[Check]]&lt;&gt;"OK",
   "",
   IF(
      T_Channel[[#This Row],[Query]]="",
      "Empty",
      "Defined"
   )
)</f>
        <v/>
      </c>
      <c r="Q915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915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915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91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915" s="20" t="str">
        <f>IF(
   T_Channel[[#This Row],[Check]]&lt;&gt;"OK",
   "",
   T_Channel[[#This Row],[ChannelSymbol]] &amp; ".evtx"
)</f>
        <v/>
      </c>
      <c r="V915" s="20" t="str">
        <f>IF(
   T_Channel[[#This Row],[Check]]&lt;&gt;"OK",
   "",
   T_Channel[[#This Row],[LogFolder]] &amp; "\" &amp; T_Channel[[#This Row],[LogFile]]
)</f>
        <v/>
      </c>
      <c r="W915" s="20" t="str">
        <f>IF(
   T_Channel[[#This Row],[Safekeeping of logs]]="",
   "",
   VLOOKUP(T_Channel[[#This Row],[Safekeeping of logs]],T_List_LogMode[],2,FALSE)
)</f>
        <v/>
      </c>
      <c r="X915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916" spans="2:24" x14ac:dyDescent="0.45">
      <c r="B916" s="7"/>
      <c r="C916" s="7"/>
      <c r="D916" s="7"/>
      <c r="E916" s="7"/>
      <c r="F916" s="6"/>
      <c r="G916" s="6"/>
      <c r="H916" s="6"/>
      <c r="I916" s="6"/>
      <c r="J916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916" s="21"/>
      <c r="L916" s="7"/>
      <c r="M916" s="41"/>
      <c r="N916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916" s="26" t="str">
        <f>IF(
   T_Channel[[#This Row],[ProviderName]]="",
   "",
   COUNTIF($N$12:$N$9982,T_Channel[[#This Row],[ProviderName]])
)</f>
        <v/>
      </c>
      <c r="P916" s="26" t="str">
        <f>IF(
   T_Channel[[#This Row],[Check]]&lt;&gt;"OK",
   "",
   IF(
      T_Channel[[#This Row],[Query]]="",
      "Empty",
      "Defined"
   )
)</f>
        <v/>
      </c>
      <c r="Q916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916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916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91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916" s="20" t="str">
        <f>IF(
   T_Channel[[#This Row],[Check]]&lt;&gt;"OK",
   "",
   T_Channel[[#This Row],[ChannelSymbol]] &amp; ".evtx"
)</f>
        <v/>
      </c>
      <c r="V916" s="20" t="str">
        <f>IF(
   T_Channel[[#This Row],[Check]]&lt;&gt;"OK",
   "",
   T_Channel[[#This Row],[LogFolder]] &amp; "\" &amp; T_Channel[[#This Row],[LogFile]]
)</f>
        <v/>
      </c>
      <c r="W916" s="20" t="str">
        <f>IF(
   T_Channel[[#This Row],[Safekeeping of logs]]="",
   "",
   VLOOKUP(T_Channel[[#This Row],[Safekeeping of logs]],T_List_LogMode[],2,FALSE)
)</f>
        <v/>
      </c>
      <c r="X916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917" spans="2:24" x14ac:dyDescent="0.45">
      <c r="B917" s="7"/>
      <c r="C917" s="7"/>
      <c r="D917" s="7"/>
      <c r="E917" s="7"/>
      <c r="F917" s="6"/>
      <c r="G917" s="6"/>
      <c r="H917" s="6"/>
      <c r="I917" s="6"/>
      <c r="J917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917" s="21"/>
      <c r="L917" s="7"/>
      <c r="M917" s="41"/>
      <c r="N917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917" s="26" t="str">
        <f>IF(
   T_Channel[[#This Row],[ProviderName]]="",
   "",
   COUNTIF($N$12:$N$9982,T_Channel[[#This Row],[ProviderName]])
)</f>
        <v/>
      </c>
      <c r="P917" s="26" t="str">
        <f>IF(
   T_Channel[[#This Row],[Check]]&lt;&gt;"OK",
   "",
   IF(
      T_Channel[[#This Row],[Query]]="",
      "Empty",
      "Defined"
   )
)</f>
        <v/>
      </c>
      <c r="Q917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917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917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91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917" s="20" t="str">
        <f>IF(
   T_Channel[[#This Row],[Check]]&lt;&gt;"OK",
   "",
   T_Channel[[#This Row],[ChannelSymbol]] &amp; ".evtx"
)</f>
        <v/>
      </c>
      <c r="V917" s="20" t="str">
        <f>IF(
   T_Channel[[#This Row],[Check]]&lt;&gt;"OK",
   "",
   T_Channel[[#This Row],[LogFolder]] &amp; "\" &amp; T_Channel[[#This Row],[LogFile]]
)</f>
        <v/>
      </c>
      <c r="W917" s="20" t="str">
        <f>IF(
   T_Channel[[#This Row],[Safekeeping of logs]]="",
   "",
   VLOOKUP(T_Channel[[#This Row],[Safekeeping of logs]],T_List_LogMode[],2,FALSE)
)</f>
        <v/>
      </c>
      <c r="X917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918" spans="2:24" x14ac:dyDescent="0.45">
      <c r="B918" s="7"/>
      <c r="C918" s="7"/>
      <c r="D918" s="7"/>
      <c r="E918" s="7"/>
      <c r="F918" s="6"/>
      <c r="G918" s="6"/>
      <c r="H918" s="6"/>
      <c r="I918" s="6"/>
      <c r="J918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918" s="21"/>
      <c r="L918" s="7"/>
      <c r="M918" s="41"/>
      <c r="N918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918" s="26" t="str">
        <f>IF(
   T_Channel[[#This Row],[ProviderName]]="",
   "",
   COUNTIF($N$12:$N$9982,T_Channel[[#This Row],[ProviderName]])
)</f>
        <v/>
      </c>
      <c r="P918" s="26" t="str">
        <f>IF(
   T_Channel[[#This Row],[Check]]&lt;&gt;"OK",
   "",
   IF(
      T_Channel[[#This Row],[Query]]="",
      "Empty",
      "Defined"
   )
)</f>
        <v/>
      </c>
      <c r="Q918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918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918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91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918" s="20" t="str">
        <f>IF(
   T_Channel[[#This Row],[Check]]&lt;&gt;"OK",
   "",
   T_Channel[[#This Row],[ChannelSymbol]] &amp; ".evtx"
)</f>
        <v/>
      </c>
      <c r="V918" s="20" t="str">
        <f>IF(
   T_Channel[[#This Row],[Check]]&lt;&gt;"OK",
   "",
   T_Channel[[#This Row],[LogFolder]] &amp; "\" &amp; T_Channel[[#This Row],[LogFile]]
)</f>
        <v/>
      </c>
      <c r="W918" s="20" t="str">
        <f>IF(
   T_Channel[[#This Row],[Safekeeping of logs]]="",
   "",
   VLOOKUP(T_Channel[[#This Row],[Safekeeping of logs]],T_List_LogMode[],2,FALSE)
)</f>
        <v/>
      </c>
      <c r="X918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919" spans="2:24" x14ac:dyDescent="0.45">
      <c r="B919" s="7"/>
      <c r="C919" s="7"/>
      <c r="D919" s="7"/>
      <c r="E919" s="7"/>
      <c r="F919" s="6"/>
      <c r="G919" s="6"/>
      <c r="H919" s="6"/>
      <c r="I919" s="6"/>
      <c r="J919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919" s="21"/>
      <c r="L919" s="7"/>
      <c r="M919" s="41"/>
      <c r="N919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919" s="26" t="str">
        <f>IF(
   T_Channel[[#This Row],[ProviderName]]="",
   "",
   COUNTIF($N$12:$N$9982,T_Channel[[#This Row],[ProviderName]])
)</f>
        <v/>
      </c>
      <c r="P919" s="26" t="str">
        <f>IF(
   T_Channel[[#This Row],[Check]]&lt;&gt;"OK",
   "",
   IF(
      T_Channel[[#This Row],[Query]]="",
      "Empty",
      "Defined"
   )
)</f>
        <v/>
      </c>
      <c r="Q919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919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919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91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919" s="20" t="str">
        <f>IF(
   T_Channel[[#This Row],[Check]]&lt;&gt;"OK",
   "",
   T_Channel[[#This Row],[ChannelSymbol]] &amp; ".evtx"
)</f>
        <v/>
      </c>
      <c r="V919" s="20" t="str">
        <f>IF(
   T_Channel[[#This Row],[Check]]&lt;&gt;"OK",
   "",
   T_Channel[[#This Row],[LogFolder]] &amp; "\" &amp; T_Channel[[#This Row],[LogFile]]
)</f>
        <v/>
      </c>
      <c r="W919" s="20" t="str">
        <f>IF(
   T_Channel[[#This Row],[Safekeeping of logs]]="",
   "",
   VLOOKUP(T_Channel[[#This Row],[Safekeeping of logs]],T_List_LogMode[],2,FALSE)
)</f>
        <v/>
      </c>
      <c r="X919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920" spans="2:24" x14ac:dyDescent="0.45">
      <c r="B920" s="7"/>
      <c r="C920" s="7"/>
      <c r="D920" s="7"/>
      <c r="E920" s="7"/>
      <c r="F920" s="6"/>
      <c r="G920" s="6"/>
      <c r="H920" s="6"/>
      <c r="I920" s="6"/>
      <c r="J920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920" s="21"/>
      <c r="L920" s="7"/>
      <c r="M920" s="41"/>
      <c r="N920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920" s="26" t="str">
        <f>IF(
   T_Channel[[#This Row],[ProviderName]]="",
   "",
   COUNTIF($N$12:$N$9982,T_Channel[[#This Row],[ProviderName]])
)</f>
        <v/>
      </c>
      <c r="P920" s="26" t="str">
        <f>IF(
   T_Channel[[#This Row],[Check]]&lt;&gt;"OK",
   "",
   IF(
      T_Channel[[#This Row],[Query]]="",
      "Empty",
      "Defined"
   )
)</f>
        <v/>
      </c>
      <c r="Q920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920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920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92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920" s="20" t="str">
        <f>IF(
   T_Channel[[#This Row],[Check]]&lt;&gt;"OK",
   "",
   T_Channel[[#This Row],[ChannelSymbol]] &amp; ".evtx"
)</f>
        <v/>
      </c>
      <c r="V920" s="20" t="str">
        <f>IF(
   T_Channel[[#This Row],[Check]]&lt;&gt;"OK",
   "",
   T_Channel[[#This Row],[LogFolder]] &amp; "\" &amp; T_Channel[[#This Row],[LogFile]]
)</f>
        <v/>
      </c>
      <c r="W920" s="20" t="str">
        <f>IF(
   T_Channel[[#This Row],[Safekeeping of logs]]="",
   "",
   VLOOKUP(T_Channel[[#This Row],[Safekeeping of logs]],T_List_LogMode[],2,FALSE)
)</f>
        <v/>
      </c>
      <c r="X920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921" spans="2:24" x14ac:dyDescent="0.45">
      <c r="B921" s="7"/>
      <c r="C921" s="7"/>
      <c r="D921" s="7"/>
      <c r="E921" s="7"/>
      <c r="F921" s="6"/>
      <c r="G921" s="6"/>
      <c r="H921" s="6"/>
      <c r="I921" s="6"/>
      <c r="J921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921" s="21"/>
      <c r="L921" s="7"/>
      <c r="M921" s="41"/>
      <c r="N921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921" s="26" t="str">
        <f>IF(
   T_Channel[[#This Row],[ProviderName]]="",
   "",
   COUNTIF($N$12:$N$9982,T_Channel[[#This Row],[ProviderName]])
)</f>
        <v/>
      </c>
      <c r="P921" s="26" t="str">
        <f>IF(
   T_Channel[[#This Row],[Check]]&lt;&gt;"OK",
   "",
   IF(
      T_Channel[[#This Row],[Query]]="",
      "Empty",
      "Defined"
   )
)</f>
        <v/>
      </c>
      <c r="Q921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921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921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92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921" s="20" t="str">
        <f>IF(
   T_Channel[[#This Row],[Check]]&lt;&gt;"OK",
   "",
   T_Channel[[#This Row],[ChannelSymbol]] &amp; ".evtx"
)</f>
        <v/>
      </c>
      <c r="V921" s="20" t="str">
        <f>IF(
   T_Channel[[#This Row],[Check]]&lt;&gt;"OK",
   "",
   T_Channel[[#This Row],[LogFolder]] &amp; "\" &amp; T_Channel[[#This Row],[LogFile]]
)</f>
        <v/>
      </c>
      <c r="W921" s="20" t="str">
        <f>IF(
   T_Channel[[#This Row],[Safekeeping of logs]]="",
   "",
   VLOOKUP(T_Channel[[#This Row],[Safekeeping of logs]],T_List_LogMode[],2,FALSE)
)</f>
        <v/>
      </c>
      <c r="X921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922" spans="2:24" x14ac:dyDescent="0.45">
      <c r="B922" s="7"/>
      <c r="C922" s="7"/>
      <c r="D922" s="7"/>
      <c r="E922" s="7"/>
      <c r="F922" s="6"/>
      <c r="G922" s="6"/>
      <c r="H922" s="6"/>
      <c r="I922" s="6"/>
      <c r="J922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922" s="21"/>
      <c r="L922" s="7"/>
      <c r="M922" s="41"/>
      <c r="N922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922" s="26" t="str">
        <f>IF(
   T_Channel[[#This Row],[ProviderName]]="",
   "",
   COUNTIF($N$12:$N$9982,T_Channel[[#This Row],[ProviderName]])
)</f>
        <v/>
      </c>
      <c r="P922" s="26" t="str">
        <f>IF(
   T_Channel[[#This Row],[Check]]&lt;&gt;"OK",
   "",
   IF(
      T_Channel[[#This Row],[Query]]="",
      "Empty",
      "Defined"
   )
)</f>
        <v/>
      </c>
      <c r="Q922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922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922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92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922" s="20" t="str">
        <f>IF(
   T_Channel[[#This Row],[Check]]&lt;&gt;"OK",
   "",
   T_Channel[[#This Row],[ChannelSymbol]] &amp; ".evtx"
)</f>
        <v/>
      </c>
      <c r="V922" s="20" t="str">
        <f>IF(
   T_Channel[[#This Row],[Check]]&lt;&gt;"OK",
   "",
   T_Channel[[#This Row],[LogFolder]] &amp; "\" &amp; T_Channel[[#This Row],[LogFile]]
)</f>
        <v/>
      </c>
      <c r="W922" s="20" t="str">
        <f>IF(
   T_Channel[[#This Row],[Safekeeping of logs]]="",
   "",
   VLOOKUP(T_Channel[[#This Row],[Safekeeping of logs]],T_List_LogMode[],2,FALSE)
)</f>
        <v/>
      </c>
      <c r="X922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923" spans="2:24" x14ac:dyDescent="0.45">
      <c r="B923" s="7"/>
      <c r="C923" s="7"/>
      <c r="D923" s="7"/>
      <c r="E923" s="7"/>
      <c r="F923" s="6"/>
      <c r="G923" s="6"/>
      <c r="H923" s="6"/>
      <c r="I923" s="6"/>
      <c r="J923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923" s="21"/>
      <c r="L923" s="7"/>
      <c r="M923" s="41"/>
      <c r="N923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923" s="26" t="str">
        <f>IF(
   T_Channel[[#This Row],[ProviderName]]="",
   "",
   COUNTIF($N$12:$N$9982,T_Channel[[#This Row],[ProviderName]])
)</f>
        <v/>
      </c>
      <c r="P923" s="26" t="str">
        <f>IF(
   T_Channel[[#This Row],[Check]]&lt;&gt;"OK",
   "",
   IF(
      T_Channel[[#This Row],[Query]]="",
      "Empty",
      "Defined"
   )
)</f>
        <v/>
      </c>
      <c r="Q923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923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923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92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923" s="20" t="str">
        <f>IF(
   T_Channel[[#This Row],[Check]]&lt;&gt;"OK",
   "",
   T_Channel[[#This Row],[ChannelSymbol]] &amp; ".evtx"
)</f>
        <v/>
      </c>
      <c r="V923" s="20" t="str">
        <f>IF(
   T_Channel[[#This Row],[Check]]&lt;&gt;"OK",
   "",
   T_Channel[[#This Row],[LogFolder]] &amp; "\" &amp; T_Channel[[#This Row],[LogFile]]
)</f>
        <v/>
      </c>
      <c r="W923" s="20" t="str">
        <f>IF(
   T_Channel[[#This Row],[Safekeeping of logs]]="",
   "",
   VLOOKUP(T_Channel[[#This Row],[Safekeeping of logs]],T_List_LogMode[],2,FALSE)
)</f>
        <v/>
      </c>
      <c r="X923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924" spans="2:24" x14ac:dyDescent="0.45">
      <c r="B924" s="7"/>
      <c r="C924" s="7"/>
      <c r="D924" s="7"/>
      <c r="E924" s="7"/>
      <c r="F924" s="6"/>
      <c r="G924" s="6"/>
      <c r="H924" s="6"/>
      <c r="I924" s="6"/>
      <c r="J924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924" s="21"/>
      <c r="L924" s="7"/>
      <c r="M924" s="41"/>
      <c r="N924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924" s="26" t="str">
        <f>IF(
   T_Channel[[#This Row],[ProviderName]]="",
   "",
   COUNTIF($N$12:$N$9982,T_Channel[[#This Row],[ProviderName]])
)</f>
        <v/>
      </c>
      <c r="P924" s="26" t="str">
        <f>IF(
   T_Channel[[#This Row],[Check]]&lt;&gt;"OK",
   "",
   IF(
      T_Channel[[#This Row],[Query]]="",
      "Empty",
      "Defined"
   )
)</f>
        <v/>
      </c>
      <c r="Q924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924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924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92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924" s="20" t="str">
        <f>IF(
   T_Channel[[#This Row],[Check]]&lt;&gt;"OK",
   "",
   T_Channel[[#This Row],[ChannelSymbol]] &amp; ".evtx"
)</f>
        <v/>
      </c>
      <c r="V924" s="20" t="str">
        <f>IF(
   T_Channel[[#This Row],[Check]]&lt;&gt;"OK",
   "",
   T_Channel[[#This Row],[LogFolder]] &amp; "\" &amp; T_Channel[[#This Row],[LogFile]]
)</f>
        <v/>
      </c>
      <c r="W924" s="20" t="str">
        <f>IF(
   T_Channel[[#This Row],[Safekeeping of logs]]="",
   "",
   VLOOKUP(T_Channel[[#This Row],[Safekeeping of logs]],T_List_LogMode[],2,FALSE)
)</f>
        <v/>
      </c>
      <c r="X924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925" spans="2:24" x14ac:dyDescent="0.45">
      <c r="B925" s="7"/>
      <c r="C925" s="7"/>
      <c r="D925" s="7"/>
      <c r="E925" s="7"/>
      <c r="F925" s="6"/>
      <c r="G925" s="6"/>
      <c r="H925" s="6"/>
      <c r="I925" s="6"/>
      <c r="J925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925" s="21"/>
      <c r="L925" s="7"/>
      <c r="M925" s="41"/>
      <c r="N925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925" s="26" t="str">
        <f>IF(
   T_Channel[[#This Row],[ProviderName]]="",
   "",
   COUNTIF($N$12:$N$9982,T_Channel[[#This Row],[ProviderName]])
)</f>
        <v/>
      </c>
      <c r="P925" s="26" t="str">
        <f>IF(
   T_Channel[[#This Row],[Check]]&lt;&gt;"OK",
   "",
   IF(
      T_Channel[[#This Row],[Query]]="",
      "Empty",
      "Defined"
   )
)</f>
        <v/>
      </c>
      <c r="Q925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925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925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92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925" s="20" t="str">
        <f>IF(
   T_Channel[[#This Row],[Check]]&lt;&gt;"OK",
   "",
   T_Channel[[#This Row],[ChannelSymbol]] &amp; ".evtx"
)</f>
        <v/>
      </c>
      <c r="V925" s="20" t="str">
        <f>IF(
   T_Channel[[#This Row],[Check]]&lt;&gt;"OK",
   "",
   T_Channel[[#This Row],[LogFolder]] &amp; "\" &amp; T_Channel[[#This Row],[LogFile]]
)</f>
        <v/>
      </c>
      <c r="W925" s="20" t="str">
        <f>IF(
   T_Channel[[#This Row],[Safekeeping of logs]]="",
   "",
   VLOOKUP(T_Channel[[#This Row],[Safekeeping of logs]],T_List_LogMode[],2,FALSE)
)</f>
        <v/>
      </c>
      <c r="X925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926" spans="2:24" x14ac:dyDescent="0.45">
      <c r="B926" s="7"/>
      <c r="C926" s="7"/>
      <c r="D926" s="7"/>
      <c r="E926" s="7"/>
      <c r="F926" s="6"/>
      <c r="G926" s="6"/>
      <c r="H926" s="6"/>
      <c r="I926" s="6"/>
      <c r="J926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926" s="21"/>
      <c r="L926" s="7"/>
      <c r="M926" s="41"/>
      <c r="N926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926" s="26" t="str">
        <f>IF(
   T_Channel[[#This Row],[ProviderName]]="",
   "",
   COUNTIF($N$12:$N$9982,T_Channel[[#This Row],[ProviderName]])
)</f>
        <v/>
      </c>
      <c r="P926" s="26" t="str">
        <f>IF(
   T_Channel[[#This Row],[Check]]&lt;&gt;"OK",
   "",
   IF(
      T_Channel[[#This Row],[Query]]="",
      "Empty",
      "Defined"
   )
)</f>
        <v/>
      </c>
      <c r="Q926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926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926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92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926" s="20" t="str">
        <f>IF(
   T_Channel[[#This Row],[Check]]&lt;&gt;"OK",
   "",
   T_Channel[[#This Row],[ChannelSymbol]] &amp; ".evtx"
)</f>
        <v/>
      </c>
      <c r="V926" s="20" t="str">
        <f>IF(
   T_Channel[[#This Row],[Check]]&lt;&gt;"OK",
   "",
   T_Channel[[#This Row],[LogFolder]] &amp; "\" &amp; T_Channel[[#This Row],[LogFile]]
)</f>
        <v/>
      </c>
      <c r="W926" s="20" t="str">
        <f>IF(
   T_Channel[[#This Row],[Safekeeping of logs]]="",
   "",
   VLOOKUP(T_Channel[[#This Row],[Safekeeping of logs]],T_List_LogMode[],2,FALSE)
)</f>
        <v/>
      </c>
      <c r="X926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927" spans="2:24" x14ac:dyDescent="0.45">
      <c r="B927" s="7"/>
      <c r="C927" s="7"/>
      <c r="D927" s="7"/>
      <c r="E927" s="7"/>
      <c r="F927" s="6"/>
      <c r="G927" s="6"/>
      <c r="H927" s="6"/>
      <c r="I927" s="6"/>
      <c r="J927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927" s="21"/>
      <c r="L927" s="7"/>
      <c r="M927" s="41"/>
      <c r="N927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927" s="26" t="str">
        <f>IF(
   T_Channel[[#This Row],[ProviderName]]="",
   "",
   COUNTIF($N$12:$N$9982,T_Channel[[#This Row],[ProviderName]])
)</f>
        <v/>
      </c>
      <c r="P927" s="26" t="str">
        <f>IF(
   T_Channel[[#This Row],[Check]]&lt;&gt;"OK",
   "",
   IF(
      T_Channel[[#This Row],[Query]]="",
      "Empty",
      "Defined"
   )
)</f>
        <v/>
      </c>
      <c r="Q927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927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927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92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927" s="20" t="str">
        <f>IF(
   T_Channel[[#This Row],[Check]]&lt;&gt;"OK",
   "",
   T_Channel[[#This Row],[ChannelSymbol]] &amp; ".evtx"
)</f>
        <v/>
      </c>
      <c r="V927" s="20" t="str">
        <f>IF(
   T_Channel[[#This Row],[Check]]&lt;&gt;"OK",
   "",
   T_Channel[[#This Row],[LogFolder]] &amp; "\" &amp; T_Channel[[#This Row],[LogFile]]
)</f>
        <v/>
      </c>
      <c r="W927" s="20" t="str">
        <f>IF(
   T_Channel[[#This Row],[Safekeeping of logs]]="",
   "",
   VLOOKUP(T_Channel[[#This Row],[Safekeeping of logs]],T_List_LogMode[],2,FALSE)
)</f>
        <v/>
      </c>
      <c r="X927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928" spans="2:24" x14ac:dyDescent="0.45">
      <c r="B928" s="7"/>
      <c r="C928" s="7"/>
      <c r="D928" s="7"/>
      <c r="E928" s="7"/>
      <c r="F928" s="6"/>
      <c r="G928" s="6"/>
      <c r="H928" s="6"/>
      <c r="I928" s="6"/>
      <c r="J928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928" s="21"/>
      <c r="L928" s="7"/>
      <c r="M928" s="41"/>
      <c r="N928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928" s="26" t="str">
        <f>IF(
   T_Channel[[#This Row],[ProviderName]]="",
   "",
   COUNTIF($N$12:$N$9982,T_Channel[[#This Row],[ProviderName]])
)</f>
        <v/>
      </c>
      <c r="P928" s="26" t="str">
        <f>IF(
   T_Channel[[#This Row],[Check]]&lt;&gt;"OK",
   "",
   IF(
      T_Channel[[#This Row],[Query]]="",
      "Empty",
      "Defined"
   )
)</f>
        <v/>
      </c>
      <c r="Q928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928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928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92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928" s="20" t="str">
        <f>IF(
   T_Channel[[#This Row],[Check]]&lt;&gt;"OK",
   "",
   T_Channel[[#This Row],[ChannelSymbol]] &amp; ".evtx"
)</f>
        <v/>
      </c>
      <c r="V928" s="20" t="str">
        <f>IF(
   T_Channel[[#This Row],[Check]]&lt;&gt;"OK",
   "",
   T_Channel[[#This Row],[LogFolder]] &amp; "\" &amp; T_Channel[[#This Row],[LogFile]]
)</f>
        <v/>
      </c>
      <c r="W928" s="20" t="str">
        <f>IF(
   T_Channel[[#This Row],[Safekeeping of logs]]="",
   "",
   VLOOKUP(T_Channel[[#This Row],[Safekeeping of logs]],T_List_LogMode[],2,FALSE)
)</f>
        <v/>
      </c>
      <c r="X928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929" spans="2:24" x14ac:dyDescent="0.45">
      <c r="B929" s="7"/>
      <c r="C929" s="7"/>
      <c r="D929" s="7"/>
      <c r="E929" s="7"/>
      <c r="F929" s="6"/>
      <c r="G929" s="6"/>
      <c r="H929" s="6"/>
      <c r="I929" s="6"/>
      <c r="J929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929" s="21"/>
      <c r="L929" s="7"/>
      <c r="M929" s="41"/>
      <c r="N929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929" s="26" t="str">
        <f>IF(
   T_Channel[[#This Row],[ProviderName]]="",
   "",
   COUNTIF($N$12:$N$9982,T_Channel[[#This Row],[ProviderName]])
)</f>
        <v/>
      </c>
      <c r="P929" s="26" t="str">
        <f>IF(
   T_Channel[[#This Row],[Check]]&lt;&gt;"OK",
   "",
   IF(
      T_Channel[[#This Row],[Query]]="",
      "Empty",
      "Defined"
   )
)</f>
        <v/>
      </c>
      <c r="Q929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929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929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92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929" s="20" t="str">
        <f>IF(
   T_Channel[[#This Row],[Check]]&lt;&gt;"OK",
   "",
   T_Channel[[#This Row],[ChannelSymbol]] &amp; ".evtx"
)</f>
        <v/>
      </c>
      <c r="V929" s="20" t="str">
        <f>IF(
   T_Channel[[#This Row],[Check]]&lt;&gt;"OK",
   "",
   T_Channel[[#This Row],[LogFolder]] &amp; "\" &amp; T_Channel[[#This Row],[LogFile]]
)</f>
        <v/>
      </c>
      <c r="W929" s="20" t="str">
        <f>IF(
   T_Channel[[#This Row],[Safekeeping of logs]]="",
   "",
   VLOOKUP(T_Channel[[#This Row],[Safekeeping of logs]],T_List_LogMode[],2,FALSE)
)</f>
        <v/>
      </c>
      <c r="X929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930" spans="2:24" x14ac:dyDescent="0.45">
      <c r="B930" s="7"/>
      <c r="C930" s="7"/>
      <c r="D930" s="7"/>
      <c r="E930" s="7"/>
      <c r="F930" s="6"/>
      <c r="G930" s="6"/>
      <c r="H930" s="6"/>
      <c r="I930" s="6"/>
      <c r="J930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930" s="21"/>
      <c r="L930" s="7"/>
      <c r="M930" s="41"/>
      <c r="N930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930" s="26" t="str">
        <f>IF(
   T_Channel[[#This Row],[ProviderName]]="",
   "",
   COUNTIF($N$12:$N$9982,T_Channel[[#This Row],[ProviderName]])
)</f>
        <v/>
      </c>
      <c r="P930" s="26" t="str">
        <f>IF(
   T_Channel[[#This Row],[Check]]&lt;&gt;"OK",
   "",
   IF(
      T_Channel[[#This Row],[Query]]="",
      "Empty",
      "Defined"
   )
)</f>
        <v/>
      </c>
      <c r="Q930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930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930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93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930" s="20" t="str">
        <f>IF(
   T_Channel[[#This Row],[Check]]&lt;&gt;"OK",
   "",
   T_Channel[[#This Row],[ChannelSymbol]] &amp; ".evtx"
)</f>
        <v/>
      </c>
      <c r="V930" s="20" t="str">
        <f>IF(
   T_Channel[[#This Row],[Check]]&lt;&gt;"OK",
   "",
   T_Channel[[#This Row],[LogFolder]] &amp; "\" &amp; T_Channel[[#This Row],[LogFile]]
)</f>
        <v/>
      </c>
      <c r="W930" s="20" t="str">
        <f>IF(
   T_Channel[[#This Row],[Safekeeping of logs]]="",
   "",
   VLOOKUP(T_Channel[[#This Row],[Safekeeping of logs]],T_List_LogMode[],2,FALSE)
)</f>
        <v/>
      </c>
      <c r="X930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931" spans="2:24" x14ac:dyDescent="0.45">
      <c r="B931" s="7"/>
      <c r="C931" s="7"/>
      <c r="D931" s="7"/>
      <c r="E931" s="7"/>
      <c r="F931" s="6"/>
      <c r="G931" s="6"/>
      <c r="H931" s="6"/>
      <c r="I931" s="6"/>
      <c r="J931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931" s="21"/>
      <c r="L931" s="7"/>
      <c r="M931" s="41"/>
      <c r="N931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931" s="26" t="str">
        <f>IF(
   T_Channel[[#This Row],[ProviderName]]="",
   "",
   COUNTIF($N$12:$N$9982,T_Channel[[#This Row],[ProviderName]])
)</f>
        <v/>
      </c>
      <c r="P931" s="26" t="str">
        <f>IF(
   T_Channel[[#This Row],[Check]]&lt;&gt;"OK",
   "",
   IF(
      T_Channel[[#This Row],[Query]]="",
      "Empty",
      "Defined"
   )
)</f>
        <v/>
      </c>
      <c r="Q931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931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931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93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931" s="20" t="str">
        <f>IF(
   T_Channel[[#This Row],[Check]]&lt;&gt;"OK",
   "",
   T_Channel[[#This Row],[ChannelSymbol]] &amp; ".evtx"
)</f>
        <v/>
      </c>
      <c r="V931" s="20" t="str">
        <f>IF(
   T_Channel[[#This Row],[Check]]&lt;&gt;"OK",
   "",
   T_Channel[[#This Row],[LogFolder]] &amp; "\" &amp; T_Channel[[#This Row],[LogFile]]
)</f>
        <v/>
      </c>
      <c r="W931" s="20" t="str">
        <f>IF(
   T_Channel[[#This Row],[Safekeeping of logs]]="",
   "",
   VLOOKUP(T_Channel[[#This Row],[Safekeeping of logs]],T_List_LogMode[],2,FALSE)
)</f>
        <v/>
      </c>
      <c r="X931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932" spans="2:24" x14ac:dyDescent="0.45">
      <c r="B932" s="7"/>
      <c r="C932" s="7"/>
      <c r="D932" s="7"/>
      <c r="E932" s="7"/>
      <c r="F932" s="6"/>
      <c r="G932" s="6"/>
      <c r="H932" s="6"/>
      <c r="I932" s="6"/>
      <c r="J932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932" s="21"/>
      <c r="L932" s="7"/>
      <c r="M932" s="41"/>
      <c r="N932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932" s="26" t="str">
        <f>IF(
   T_Channel[[#This Row],[ProviderName]]="",
   "",
   COUNTIF($N$12:$N$9982,T_Channel[[#This Row],[ProviderName]])
)</f>
        <v/>
      </c>
      <c r="P932" s="26" t="str">
        <f>IF(
   T_Channel[[#This Row],[Check]]&lt;&gt;"OK",
   "",
   IF(
      T_Channel[[#This Row],[Query]]="",
      "Empty",
      "Defined"
   )
)</f>
        <v/>
      </c>
      <c r="Q932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932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932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93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932" s="20" t="str">
        <f>IF(
   T_Channel[[#This Row],[Check]]&lt;&gt;"OK",
   "",
   T_Channel[[#This Row],[ChannelSymbol]] &amp; ".evtx"
)</f>
        <v/>
      </c>
      <c r="V932" s="20" t="str">
        <f>IF(
   T_Channel[[#This Row],[Check]]&lt;&gt;"OK",
   "",
   T_Channel[[#This Row],[LogFolder]] &amp; "\" &amp; T_Channel[[#This Row],[LogFile]]
)</f>
        <v/>
      </c>
      <c r="W932" s="20" t="str">
        <f>IF(
   T_Channel[[#This Row],[Safekeeping of logs]]="",
   "",
   VLOOKUP(T_Channel[[#This Row],[Safekeeping of logs]],T_List_LogMode[],2,FALSE)
)</f>
        <v/>
      </c>
      <c r="X932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933" spans="2:24" x14ac:dyDescent="0.45">
      <c r="B933" s="7"/>
      <c r="C933" s="7"/>
      <c r="D933" s="7"/>
      <c r="E933" s="7"/>
      <c r="F933" s="6"/>
      <c r="G933" s="6"/>
      <c r="H933" s="6"/>
      <c r="I933" s="6"/>
      <c r="J933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933" s="21"/>
      <c r="L933" s="7"/>
      <c r="M933" s="41"/>
      <c r="N933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933" s="26" t="str">
        <f>IF(
   T_Channel[[#This Row],[ProviderName]]="",
   "",
   COUNTIF($N$12:$N$9982,T_Channel[[#This Row],[ProviderName]])
)</f>
        <v/>
      </c>
      <c r="P933" s="26" t="str">
        <f>IF(
   T_Channel[[#This Row],[Check]]&lt;&gt;"OK",
   "",
   IF(
      T_Channel[[#This Row],[Query]]="",
      "Empty",
      "Defined"
   )
)</f>
        <v/>
      </c>
      <c r="Q933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933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933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93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933" s="20" t="str">
        <f>IF(
   T_Channel[[#This Row],[Check]]&lt;&gt;"OK",
   "",
   T_Channel[[#This Row],[ChannelSymbol]] &amp; ".evtx"
)</f>
        <v/>
      </c>
      <c r="V933" s="20" t="str">
        <f>IF(
   T_Channel[[#This Row],[Check]]&lt;&gt;"OK",
   "",
   T_Channel[[#This Row],[LogFolder]] &amp; "\" &amp; T_Channel[[#This Row],[LogFile]]
)</f>
        <v/>
      </c>
      <c r="W933" s="20" t="str">
        <f>IF(
   T_Channel[[#This Row],[Safekeeping of logs]]="",
   "",
   VLOOKUP(T_Channel[[#This Row],[Safekeeping of logs]],T_List_LogMode[],2,FALSE)
)</f>
        <v/>
      </c>
      <c r="X933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934" spans="2:24" x14ac:dyDescent="0.45">
      <c r="B934" s="7"/>
      <c r="C934" s="7"/>
      <c r="D934" s="7"/>
      <c r="E934" s="7"/>
      <c r="F934" s="6"/>
      <c r="G934" s="6"/>
      <c r="H934" s="6"/>
      <c r="I934" s="6"/>
      <c r="J934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934" s="21"/>
      <c r="L934" s="7"/>
      <c r="M934" s="41"/>
      <c r="N934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934" s="26" t="str">
        <f>IF(
   T_Channel[[#This Row],[ProviderName]]="",
   "",
   COUNTIF($N$12:$N$9982,T_Channel[[#This Row],[ProviderName]])
)</f>
        <v/>
      </c>
      <c r="P934" s="26" t="str">
        <f>IF(
   T_Channel[[#This Row],[Check]]&lt;&gt;"OK",
   "",
   IF(
      T_Channel[[#This Row],[Query]]="",
      "Empty",
      "Defined"
   )
)</f>
        <v/>
      </c>
      <c r="Q934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934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934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93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934" s="20" t="str">
        <f>IF(
   T_Channel[[#This Row],[Check]]&lt;&gt;"OK",
   "",
   T_Channel[[#This Row],[ChannelSymbol]] &amp; ".evtx"
)</f>
        <v/>
      </c>
      <c r="V934" s="20" t="str">
        <f>IF(
   T_Channel[[#This Row],[Check]]&lt;&gt;"OK",
   "",
   T_Channel[[#This Row],[LogFolder]] &amp; "\" &amp; T_Channel[[#This Row],[LogFile]]
)</f>
        <v/>
      </c>
      <c r="W934" s="20" t="str">
        <f>IF(
   T_Channel[[#This Row],[Safekeeping of logs]]="",
   "",
   VLOOKUP(T_Channel[[#This Row],[Safekeeping of logs]],T_List_LogMode[],2,FALSE)
)</f>
        <v/>
      </c>
      <c r="X934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935" spans="2:24" x14ac:dyDescent="0.45">
      <c r="B935" s="7"/>
      <c r="C935" s="7"/>
      <c r="D935" s="7"/>
      <c r="E935" s="7"/>
      <c r="F935" s="6"/>
      <c r="G935" s="6"/>
      <c r="H935" s="6"/>
      <c r="I935" s="6"/>
      <c r="J935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935" s="21"/>
      <c r="L935" s="7"/>
      <c r="M935" s="41"/>
      <c r="N935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935" s="26" t="str">
        <f>IF(
   T_Channel[[#This Row],[ProviderName]]="",
   "",
   COUNTIF($N$12:$N$9982,T_Channel[[#This Row],[ProviderName]])
)</f>
        <v/>
      </c>
      <c r="P935" s="26" t="str">
        <f>IF(
   T_Channel[[#This Row],[Check]]&lt;&gt;"OK",
   "",
   IF(
      T_Channel[[#This Row],[Query]]="",
      "Empty",
      "Defined"
   )
)</f>
        <v/>
      </c>
      <c r="Q935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935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935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93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935" s="20" t="str">
        <f>IF(
   T_Channel[[#This Row],[Check]]&lt;&gt;"OK",
   "",
   T_Channel[[#This Row],[ChannelSymbol]] &amp; ".evtx"
)</f>
        <v/>
      </c>
      <c r="V935" s="20" t="str">
        <f>IF(
   T_Channel[[#This Row],[Check]]&lt;&gt;"OK",
   "",
   T_Channel[[#This Row],[LogFolder]] &amp; "\" &amp; T_Channel[[#This Row],[LogFile]]
)</f>
        <v/>
      </c>
      <c r="W935" s="20" t="str">
        <f>IF(
   T_Channel[[#This Row],[Safekeeping of logs]]="",
   "",
   VLOOKUP(T_Channel[[#This Row],[Safekeeping of logs]],T_List_LogMode[],2,FALSE)
)</f>
        <v/>
      </c>
      <c r="X935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936" spans="2:24" x14ac:dyDescent="0.45">
      <c r="B936" s="7"/>
      <c r="C936" s="7"/>
      <c r="D936" s="7"/>
      <c r="E936" s="7"/>
      <c r="F936" s="6"/>
      <c r="G936" s="6"/>
      <c r="H936" s="6"/>
      <c r="I936" s="6"/>
      <c r="J936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936" s="21"/>
      <c r="L936" s="7"/>
      <c r="M936" s="41"/>
      <c r="N936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936" s="26" t="str">
        <f>IF(
   T_Channel[[#This Row],[ProviderName]]="",
   "",
   COUNTIF($N$12:$N$9982,T_Channel[[#This Row],[ProviderName]])
)</f>
        <v/>
      </c>
      <c r="P936" s="26" t="str">
        <f>IF(
   T_Channel[[#This Row],[Check]]&lt;&gt;"OK",
   "",
   IF(
      T_Channel[[#This Row],[Query]]="",
      "Empty",
      "Defined"
   )
)</f>
        <v/>
      </c>
      <c r="Q936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936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936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93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936" s="20" t="str">
        <f>IF(
   T_Channel[[#This Row],[Check]]&lt;&gt;"OK",
   "",
   T_Channel[[#This Row],[ChannelSymbol]] &amp; ".evtx"
)</f>
        <v/>
      </c>
      <c r="V936" s="20" t="str">
        <f>IF(
   T_Channel[[#This Row],[Check]]&lt;&gt;"OK",
   "",
   T_Channel[[#This Row],[LogFolder]] &amp; "\" &amp; T_Channel[[#This Row],[LogFile]]
)</f>
        <v/>
      </c>
      <c r="W936" s="20" t="str">
        <f>IF(
   T_Channel[[#This Row],[Safekeeping of logs]]="",
   "",
   VLOOKUP(T_Channel[[#This Row],[Safekeeping of logs]],T_List_LogMode[],2,FALSE)
)</f>
        <v/>
      </c>
      <c r="X936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937" spans="2:24" x14ac:dyDescent="0.45">
      <c r="B937" s="7"/>
      <c r="C937" s="7"/>
      <c r="D937" s="7"/>
      <c r="E937" s="7"/>
      <c r="F937" s="6"/>
      <c r="G937" s="6"/>
      <c r="H937" s="6"/>
      <c r="I937" s="6"/>
      <c r="J937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937" s="21"/>
      <c r="L937" s="7"/>
      <c r="M937" s="41"/>
      <c r="N937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937" s="26" t="str">
        <f>IF(
   T_Channel[[#This Row],[ProviderName]]="",
   "",
   COUNTIF($N$12:$N$9982,T_Channel[[#This Row],[ProviderName]])
)</f>
        <v/>
      </c>
      <c r="P937" s="26" t="str">
        <f>IF(
   T_Channel[[#This Row],[Check]]&lt;&gt;"OK",
   "",
   IF(
      T_Channel[[#This Row],[Query]]="",
      "Empty",
      "Defined"
   )
)</f>
        <v/>
      </c>
      <c r="Q937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937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937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93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937" s="20" t="str">
        <f>IF(
   T_Channel[[#This Row],[Check]]&lt;&gt;"OK",
   "",
   T_Channel[[#This Row],[ChannelSymbol]] &amp; ".evtx"
)</f>
        <v/>
      </c>
      <c r="V937" s="20" t="str">
        <f>IF(
   T_Channel[[#This Row],[Check]]&lt;&gt;"OK",
   "",
   T_Channel[[#This Row],[LogFolder]] &amp; "\" &amp; T_Channel[[#This Row],[LogFile]]
)</f>
        <v/>
      </c>
      <c r="W937" s="20" t="str">
        <f>IF(
   T_Channel[[#This Row],[Safekeeping of logs]]="",
   "",
   VLOOKUP(T_Channel[[#This Row],[Safekeeping of logs]],T_List_LogMode[],2,FALSE)
)</f>
        <v/>
      </c>
      <c r="X937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938" spans="2:24" x14ac:dyDescent="0.45">
      <c r="B938" s="7"/>
      <c r="C938" s="7"/>
      <c r="D938" s="7"/>
      <c r="E938" s="7"/>
      <c r="F938" s="6"/>
      <c r="G938" s="6"/>
      <c r="H938" s="6"/>
      <c r="I938" s="6"/>
      <c r="J938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938" s="21"/>
      <c r="L938" s="7"/>
      <c r="M938" s="41"/>
      <c r="N938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938" s="26" t="str">
        <f>IF(
   T_Channel[[#This Row],[ProviderName]]="",
   "",
   COUNTIF($N$12:$N$9982,T_Channel[[#This Row],[ProviderName]])
)</f>
        <v/>
      </c>
      <c r="P938" s="26" t="str">
        <f>IF(
   T_Channel[[#This Row],[Check]]&lt;&gt;"OK",
   "",
   IF(
      T_Channel[[#This Row],[Query]]="",
      "Empty",
      "Defined"
   )
)</f>
        <v/>
      </c>
      <c r="Q938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938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938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93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938" s="20" t="str">
        <f>IF(
   T_Channel[[#This Row],[Check]]&lt;&gt;"OK",
   "",
   T_Channel[[#This Row],[ChannelSymbol]] &amp; ".evtx"
)</f>
        <v/>
      </c>
      <c r="V938" s="20" t="str">
        <f>IF(
   T_Channel[[#This Row],[Check]]&lt;&gt;"OK",
   "",
   T_Channel[[#This Row],[LogFolder]] &amp; "\" &amp; T_Channel[[#This Row],[LogFile]]
)</f>
        <v/>
      </c>
      <c r="W938" s="20" t="str">
        <f>IF(
   T_Channel[[#This Row],[Safekeeping of logs]]="",
   "",
   VLOOKUP(T_Channel[[#This Row],[Safekeeping of logs]],T_List_LogMode[],2,FALSE)
)</f>
        <v/>
      </c>
      <c r="X938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939" spans="2:24" x14ac:dyDescent="0.45">
      <c r="B939" s="7"/>
      <c r="C939" s="7"/>
      <c r="D939" s="7"/>
      <c r="E939" s="7"/>
      <c r="F939" s="6"/>
      <c r="G939" s="6"/>
      <c r="H939" s="6"/>
      <c r="I939" s="6"/>
      <c r="J939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939" s="21"/>
      <c r="L939" s="7"/>
      <c r="M939" s="41"/>
      <c r="N939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939" s="26" t="str">
        <f>IF(
   T_Channel[[#This Row],[ProviderName]]="",
   "",
   COUNTIF($N$12:$N$9982,T_Channel[[#This Row],[ProviderName]])
)</f>
        <v/>
      </c>
      <c r="P939" s="26" t="str">
        <f>IF(
   T_Channel[[#This Row],[Check]]&lt;&gt;"OK",
   "",
   IF(
      T_Channel[[#This Row],[Query]]="",
      "Empty",
      "Defined"
   )
)</f>
        <v/>
      </c>
      <c r="Q939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939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939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93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939" s="20" t="str">
        <f>IF(
   T_Channel[[#This Row],[Check]]&lt;&gt;"OK",
   "",
   T_Channel[[#This Row],[ChannelSymbol]] &amp; ".evtx"
)</f>
        <v/>
      </c>
      <c r="V939" s="20" t="str">
        <f>IF(
   T_Channel[[#This Row],[Check]]&lt;&gt;"OK",
   "",
   T_Channel[[#This Row],[LogFolder]] &amp; "\" &amp; T_Channel[[#This Row],[LogFile]]
)</f>
        <v/>
      </c>
      <c r="W939" s="20" t="str">
        <f>IF(
   T_Channel[[#This Row],[Safekeeping of logs]]="",
   "",
   VLOOKUP(T_Channel[[#This Row],[Safekeeping of logs]],T_List_LogMode[],2,FALSE)
)</f>
        <v/>
      </c>
      <c r="X939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940" spans="2:24" x14ac:dyDescent="0.45">
      <c r="B940" s="7"/>
      <c r="C940" s="7"/>
      <c r="D940" s="7"/>
      <c r="E940" s="7"/>
      <c r="F940" s="6"/>
      <c r="G940" s="6"/>
      <c r="H940" s="6"/>
      <c r="I940" s="6"/>
      <c r="J940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940" s="21"/>
      <c r="L940" s="7"/>
      <c r="M940" s="41"/>
      <c r="N940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940" s="26" t="str">
        <f>IF(
   T_Channel[[#This Row],[ProviderName]]="",
   "",
   COUNTIF($N$12:$N$9982,T_Channel[[#This Row],[ProviderName]])
)</f>
        <v/>
      </c>
      <c r="P940" s="26" t="str">
        <f>IF(
   T_Channel[[#This Row],[Check]]&lt;&gt;"OK",
   "",
   IF(
      T_Channel[[#This Row],[Query]]="",
      "Empty",
      "Defined"
   )
)</f>
        <v/>
      </c>
      <c r="Q940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940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940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94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940" s="20" t="str">
        <f>IF(
   T_Channel[[#This Row],[Check]]&lt;&gt;"OK",
   "",
   T_Channel[[#This Row],[ChannelSymbol]] &amp; ".evtx"
)</f>
        <v/>
      </c>
      <c r="V940" s="20" t="str">
        <f>IF(
   T_Channel[[#This Row],[Check]]&lt;&gt;"OK",
   "",
   T_Channel[[#This Row],[LogFolder]] &amp; "\" &amp; T_Channel[[#This Row],[LogFile]]
)</f>
        <v/>
      </c>
      <c r="W940" s="20" t="str">
        <f>IF(
   T_Channel[[#This Row],[Safekeeping of logs]]="",
   "",
   VLOOKUP(T_Channel[[#This Row],[Safekeeping of logs]],T_List_LogMode[],2,FALSE)
)</f>
        <v/>
      </c>
      <c r="X940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941" spans="2:24" x14ac:dyDescent="0.45">
      <c r="B941" s="7"/>
      <c r="C941" s="7"/>
      <c r="D941" s="7"/>
      <c r="E941" s="7"/>
      <c r="F941" s="6"/>
      <c r="G941" s="6"/>
      <c r="H941" s="6"/>
      <c r="I941" s="6"/>
      <c r="J941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941" s="21"/>
      <c r="L941" s="7"/>
      <c r="M941" s="41"/>
      <c r="N941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941" s="26" t="str">
        <f>IF(
   T_Channel[[#This Row],[ProviderName]]="",
   "",
   COUNTIF($N$12:$N$9982,T_Channel[[#This Row],[ProviderName]])
)</f>
        <v/>
      </c>
      <c r="P941" s="26" t="str">
        <f>IF(
   T_Channel[[#This Row],[Check]]&lt;&gt;"OK",
   "",
   IF(
      T_Channel[[#This Row],[Query]]="",
      "Empty",
      "Defined"
   )
)</f>
        <v/>
      </c>
      <c r="Q941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941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941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94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941" s="20" t="str">
        <f>IF(
   T_Channel[[#This Row],[Check]]&lt;&gt;"OK",
   "",
   T_Channel[[#This Row],[ChannelSymbol]] &amp; ".evtx"
)</f>
        <v/>
      </c>
      <c r="V941" s="20" t="str">
        <f>IF(
   T_Channel[[#This Row],[Check]]&lt;&gt;"OK",
   "",
   T_Channel[[#This Row],[LogFolder]] &amp; "\" &amp; T_Channel[[#This Row],[LogFile]]
)</f>
        <v/>
      </c>
      <c r="W941" s="20" t="str">
        <f>IF(
   T_Channel[[#This Row],[Safekeeping of logs]]="",
   "",
   VLOOKUP(T_Channel[[#This Row],[Safekeeping of logs]],T_List_LogMode[],2,FALSE)
)</f>
        <v/>
      </c>
      <c r="X941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942" spans="2:24" x14ac:dyDescent="0.45">
      <c r="B942" s="7"/>
      <c r="C942" s="7"/>
      <c r="D942" s="7"/>
      <c r="E942" s="7"/>
      <c r="F942" s="6"/>
      <c r="G942" s="6"/>
      <c r="H942" s="6"/>
      <c r="I942" s="6"/>
      <c r="J942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942" s="21"/>
      <c r="L942" s="7"/>
      <c r="M942" s="41"/>
      <c r="N942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942" s="26" t="str">
        <f>IF(
   T_Channel[[#This Row],[ProviderName]]="",
   "",
   COUNTIF($N$12:$N$9982,T_Channel[[#This Row],[ProviderName]])
)</f>
        <v/>
      </c>
      <c r="P942" s="26" t="str">
        <f>IF(
   T_Channel[[#This Row],[Check]]&lt;&gt;"OK",
   "",
   IF(
      T_Channel[[#This Row],[Query]]="",
      "Empty",
      "Defined"
   )
)</f>
        <v/>
      </c>
      <c r="Q942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942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942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94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942" s="20" t="str">
        <f>IF(
   T_Channel[[#This Row],[Check]]&lt;&gt;"OK",
   "",
   T_Channel[[#This Row],[ChannelSymbol]] &amp; ".evtx"
)</f>
        <v/>
      </c>
      <c r="V942" s="20" t="str">
        <f>IF(
   T_Channel[[#This Row],[Check]]&lt;&gt;"OK",
   "",
   T_Channel[[#This Row],[LogFolder]] &amp; "\" &amp; T_Channel[[#This Row],[LogFile]]
)</f>
        <v/>
      </c>
      <c r="W942" s="20" t="str">
        <f>IF(
   T_Channel[[#This Row],[Safekeeping of logs]]="",
   "",
   VLOOKUP(T_Channel[[#This Row],[Safekeeping of logs]],T_List_LogMode[],2,FALSE)
)</f>
        <v/>
      </c>
      <c r="X942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943" spans="2:24" x14ac:dyDescent="0.45">
      <c r="B943" s="7"/>
      <c r="C943" s="7"/>
      <c r="D943" s="7"/>
      <c r="E943" s="7"/>
      <c r="F943" s="6"/>
      <c r="G943" s="6"/>
      <c r="H943" s="6"/>
      <c r="I943" s="6"/>
      <c r="J943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943" s="21"/>
      <c r="L943" s="7"/>
      <c r="M943" s="41"/>
      <c r="N943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943" s="26" t="str">
        <f>IF(
   T_Channel[[#This Row],[ProviderName]]="",
   "",
   COUNTIF($N$12:$N$9982,T_Channel[[#This Row],[ProviderName]])
)</f>
        <v/>
      </c>
      <c r="P943" s="26" t="str">
        <f>IF(
   T_Channel[[#This Row],[Check]]&lt;&gt;"OK",
   "",
   IF(
      T_Channel[[#This Row],[Query]]="",
      "Empty",
      "Defined"
   )
)</f>
        <v/>
      </c>
      <c r="Q943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943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943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94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943" s="20" t="str">
        <f>IF(
   T_Channel[[#This Row],[Check]]&lt;&gt;"OK",
   "",
   T_Channel[[#This Row],[ChannelSymbol]] &amp; ".evtx"
)</f>
        <v/>
      </c>
      <c r="V943" s="20" t="str">
        <f>IF(
   T_Channel[[#This Row],[Check]]&lt;&gt;"OK",
   "",
   T_Channel[[#This Row],[LogFolder]] &amp; "\" &amp; T_Channel[[#This Row],[LogFile]]
)</f>
        <v/>
      </c>
      <c r="W943" s="20" t="str">
        <f>IF(
   T_Channel[[#This Row],[Safekeeping of logs]]="",
   "",
   VLOOKUP(T_Channel[[#This Row],[Safekeeping of logs]],T_List_LogMode[],2,FALSE)
)</f>
        <v/>
      </c>
      <c r="X943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944" spans="2:24" x14ac:dyDescent="0.45">
      <c r="B944" s="7"/>
      <c r="C944" s="7"/>
      <c r="D944" s="7"/>
      <c r="E944" s="7"/>
      <c r="F944" s="6"/>
      <c r="G944" s="6"/>
      <c r="H944" s="6"/>
      <c r="I944" s="6"/>
      <c r="J944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944" s="21"/>
      <c r="L944" s="7"/>
      <c r="M944" s="41"/>
      <c r="N944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944" s="26" t="str">
        <f>IF(
   T_Channel[[#This Row],[ProviderName]]="",
   "",
   COUNTIF($N$12:$N$9982,T_Channel[[#This Row],[ProviderName]])
)</f>
        <v/>
      </c>
      <c r="P944" s="26" t="str">
        <f>IF(
   T_Channel[[#This Row],[Check]]&lt;&gt;"OK",
   "",
   IF(
      T_Channel[[#This Row],[Query]]="",
      "Empty",
      "Defined"
   )
)</f>
        <v/>
      </c>
      <c r="Q944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944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944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94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944" s="20" t="str">
        <f>IF(
   T_Channel[[#This Row],[Check]]&lt;&gt;"OK",
   "",
   T_Channel[[#This Row],[ChannelSymbol]] &amp; ".evtx"
)</f>
        <v/>
      </c>
      <c r="V944" s="20" t="str">
        <f>IF(
   T_Channel[[#This Row],[Check]]&lt;&gt;"OK",
   "",
   T_Channel[[#This Row],[LogFolder]] &amp; "\" &amp; T_Channel[[#This Row],[LogFile]]
)</f>
        <v/>
      </c>
      <c r="W944" s="20" t="str">
        <f>IF(
   T_Channel[[#This Row],[Safekeeping of logs]]="",
   "",
   VLOOKUP(T_Channel[[#This Row],[Safekeeping of logs]],T_List_LogMode[],2,FALSE)
)</f>
        <v/>
      </c>
      <c r="X944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945" spans="2:24" x14ac:dyDescent="0.45">
      <c r="B945" s="7"/>
      <c r="C945" s="7"/>
      <c r="D945" s="7"/>
      <c r="E945" s="7"/>
      <c r="F945" s="6"/>
      <c r="G945" s="6"/>
      <c r="H945" s="6"/>
      <c r="I945" s="6"/>
      <c r="J945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945" s="21"/>
      <c r="L945" s="7"/>
      <c r="M945" s="41"/>
      <c r="N945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945" s="26" t="str">
        <f>IF(
   T_Channel[[#This Row],[ProviderName]]="",
   "",
   COUNTIF($N$12:$N$9982,T_Channel[[#This Row],[ProviderName]])
)</f>
        <v/>
      </c>
      <c r="P945" s="26" t="str">
        <f>IF(
   T_Channel[[#This Row],[Check]]&lt;&gt;"OK",
   "",
   IF(
      T_Channel[[#This Row],[Query]]="",
      "Empty",
      "Defined"
   )
)</f>
        <v/>
      </c>
      <c r="Q945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945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945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94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945" s="20" t="str">
        <f>IF(
   T_Channel[[#This Row],[Check]]&lt;&gt;"OK",
   "",
   T_Channel[[#This Row],[ChannelSymbol]] &amp; ".evtx"
)</f>
        <v/>
      </c>
      <c r="V945" s="20" t="str">
        <f>IF(
   T_Channel[[#This Row],[Check]]&lt;&gt;"OK",
   "",
   T_Channel[[#This Row],[LogFolder]] &amp; "\" &amp; T_Channel[[#This Row],[LogFile]]
)</f>
        <v/>
      </c>
      <c r="W945" s="20" t="str">
        <f>IF(
   T_Channel[[#This Row],[Safekeeping of logs]]="",
   "",
   VLOOKUP(T_Channel[[#This Row],[Safekeeping of logs]],T_List_LogMode[],2,FALSE)
)</f>
        <v/>
      </c>
      <c r="X945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946" spans="2:24" x14ac:dyDescent="0.45">
      <c r="B946" s="7"/>
      <c r="C946" s="7"/>
      <c r="D946" s="7"/>
      <c r="E946" s="7"/>
      <c r="F946" s="6"/>
      <c r="G946" s="6"/>
      <c r="H946" s="6"/>
      <c r="I946" s="6"/>
      <c r="J946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946" s="21"/>
      <c r="L946" s="7"/>
      <c r="M946" s="41"/>
      <c r="N946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946" s="26" t="str">
        <f>IF(
   T_Channel[[#This Row],[ProviderName]]="",
   "",
   COUNTIF($N$12:$N$9982,T_Channel[[#This Row],[ProviderName]])
)</f>
        <v/>
      </c>
      <c r="P946" s="26" t="str">
        <f>IF(
   T_Channel[[#This Row],[Check]]&lt;&gt;"OK",
   "",
   IF(
      T_Channel[[#This Row],[Query]]="",
      "Empty",
      "Defined"
   )
)</f>
        <v/>
      </c>
      <c r="Q946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946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946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94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946" s="20" t="str">
        <f>IF(
   T_Channel[[#This Row],[Check]]&lt;&gt;"OK",
   "",
   T_Channel[[#This Row],[ChannelSymbol]] &amp; ".evtx"
)</f>
        <v/>
      </c>
      <c r="V946" s="20" t="str">
        <f>IF(
   T_Channel[[#This Row],[Check]]&lt;&gt;"OK",
   "",
   T_Channel[[#This Row],[LogFolder]] &amp; "\" &amp; T_Channel[[#This Row],[LogFile]]
)</f>
        <v/>
      </c>
      <c r="W946" s="20" t="str">
        <f>IF(
   T_Channel[[#This Row],[Safekeeping of logs]]="",
   "",
   VLOOKUP(T_Channel[[#This Row],[Safekeeping of logs]],T_List_LogMode[],2,FALSE)
)</f>
        <v/>
      </c>
      <c r="X946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947" spans="2:24" x14ac:dyDescent="0.45">
      <c r="B947" s="7"/>
      <c r="C947" s="7"/>
      <c r="D947" s="7"/>
      <c r="E947" s="7"/>
      <c r="F947" s="6"/>
      <c r="G947" s="6"/>
      <c r="H947" s="6"/>
      <c r="I947" s="6"/>
      <c r="J947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947" s="21"/>
      <c r="L947" s="7"/>
      <c r="M947" s="41"/>
      <c r="N947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947" s="26" t="str">
        <f>IF(
   T_Channel[[#This Row],[ProviderName]]="",
   "",
   COUNTIF($N$12:$N$9982,T_Channel[[#This Row],[ProviderName]])
)</f>
        <v/>
      </c>
      <c r="P947" s="26" t="str">
        <f>IF(
   T_Channel[[#This Row],[Check]]&lt;&gt;"OK",
   "",
   IF(
      T_Channel[[#This Row],[Query]]="",
      "Empty",
      "Defined"
   )
)</f>
        <v/>
      </c>
      <c r="Q947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947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947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94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947" s="20" t="str">
        <f>IF(
   T_Channel[[#This Row],[Check]]&lt;&gt;"OK",
   "",
   T_Channel[[#This Row],[ChannelSymbol]] &amp; ".evtx"
)</f>
        <v/>
      </c>
      <c r="V947" s="20" t="str">
        <f>IF(
   T_Channel[[#This Row],[Check]]&lt;&gt;"OK",
   "",
   T_Channel[[#This Row],[LogFolder]] &amp; "\" &amp; T_Channel[[#This Row],[LogFile]]
)</f>
        <v/>
      </c>
      <c r="W947" s="20" t="str">
        <f>IF(
   T_Channel[[#This Row],[Safekeeping of logs]]="",
   "",
   VLOOKUP(T_Channel[[#This Row],[Safekeeping of logs]],T_List_LogMode[],2,FALSE)
)</f>
        <v/>
      </c>
      <c r="X947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948" spans="2:24" x14ac:dyDescent="0.45">
      <c r="B948" s="7"/>
      <c r="C948" s="7"/>
      <c r="D948" s="7"/>
      <c r="E948" s="7"/>
      <c r="F948" s="6"/>
      <c r="G948" s="6"/>
      <c r="H948" s="6"/>
      <c r="I948" s="6"/>
      <c r="J948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948" s="21"/>
      <c r="L948" s="7"/>
      <c r="M948" s="41"/>
      <c r="N948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948" s="26" t="str">
        <f>IF(
   T_Channel[[#This Row],[ProviderName]]="",
   "",
   COUNTIF($N$12:$N$9982,T_Channel[[#This Row],[ProviderName]])
)</f>
        <v/>
      </c>
      <c r="P948" s="26" t="str">
        <f>IF(
   T_Channel[[#This Row],[Check]]&lt;&gt;"OK",
   "",
   IF(
      T_Channel[[#This Row],[Query]]="",
      "Empty",
      "Defined"
   )
)</f>
        <v/>
      </c>
      <c r="Q948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948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948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94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948" s="20" t="str">
        <f>IF(
   T_Channel[[#This Row],[Check]]&lt;&gt;"OK",
   "",
   T_Channel[[#This Row],[ChannelSymbol]] &amp; ".evtx"
)</f>
        <v/>
      </c>
      <c r="V948" s="20" t="str">
        <f>IF(
   T_Channel[[#This Row],[Check]]&lt;&gt;"OK",
   "",
   T_Channel[[#This Row],[LogFolder]] &amp; "\" &amp; T_Channel[[#This Row],[LogFile]]
)</f>
        <v/>
      </c>
      <c r="W948" s="20" t="str">
        <f>IF(
   T_Channel[[#This Row],[Safekeeping of logs]]="",
   "",
   VLOOKUP(T_Channel[[#This Row],[Safekeeping of logs]],T_List_LogMode[],2,FALSE)
)</f>
        <v/>
      </c>
      <c r="X948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949" spans="2:24" x14ac:dyDescent="0.45">
      <c r="B949" s="7"/>
      <c r="C949" s="7"/>
      <c r="D949" s="7"/>
      <c r="E949" s="7"/>
      <c r="F949" s="6"/>
      <c r="G949" s="6"/>
      <c r="H949" s="6"/>
      <c r="I949" s="6"/>
      <c r="J949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949" s="21"/>
      <c r="L949" s="7"/>
      <c r="M949" s="41"/>
      <c r="N949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949" s="26" t="str">
        <f>IF(
   T_Channel[[#This Row],[ProviderName]]="",
   "",
   COUNTIF($N$12:$N$9982,T_Channel[[#This Row],[ProviderName]])
)</f>
        <v/>
      </c>
      <c r="P949" s="26" t="str">
        <f>IF(
   T_Channel[[#This Row],[Check]]&lt;&gt;"OK",
   "",
   IF(
      T_Channel[[#This Row],[Query]]="",
      "Empty",
      "Defined"
   )
)</f>
        <v/>
      </c>
      <c r="Q949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949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949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94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949" s="20" t="str">
        <f>IF(
   T_Channel[[#This Row],[Check]]&lt;&gt;"OK",
   "",
   T_Channel[[#This Row],[ChannelSymbol]] &amp; ".evtx"
)</f>
        <v/>
      </c>
      <c r="V949" s="20" t="str">
        <f>IF(
   T_Channel[[#This Row],[Check]]&lt;&gt;"OK",
   "",
   T_Channel[[#This Row],[LogFolder]] &amp; "\" &amp; T_Channel[[#This Row],[LogFile]]
)</f>
        <v/>
      </c>
      <c r="W949" s="20" t="str">
        <f>IF(
   T_Channel[[#This Row],[Safekeeping of logs]]="",
   "",
   VLOOKUP(T_Channel[[#This Row],[Safekeeping of logs]],T_List_LogMode[],2,FALSE)
)</f>
        <v/>
      </c>
      <c r="X949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950" spans="2:24" x14ac:dyDescent="0.45">
      <c r="B950" s="7"/>
      <c r="C950" s="7"/>
      <c r="D950" s="7"/>
      <c r="E950" s="7"/>
      <c r="F950" s="6"/>
      <c r="G950" s="6"/>
      <c r="H950" s="6"/>
      <c r="I950" s="6"/>
      <c r="J950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950" s="21"/>
      <c r="L950" s="7"/>
      <c r="M950" s="41"/>
      <c r="N950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950" s="26" t="str">
        <f>IF(
   T_Channel[[#This Row],[ProviderName]]="",
   "",
   COUNTIF($N$12:$N$9982,T_Channel[[#This Row],[ProviderName]])
)</f>
        <v/>
      </c>
      <c r="P950" s="26" t="str">
        <f>IF(
   T_Channel[[#This Row],[Check]]&lt;&gt;"OK",
   "",
   IF(
      T_Channel[[#This Row],[Query]]="",
      "Empty",
      "Defined"
   )
)</f>
        <v/>
      </c>
      <c r="Q950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950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950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95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950" s="20" t="str">
        <f>IF(
   T_Channel[[#This Row],[Check]]&lt;&gt;"OK",
   "",
   T_Channel[[#This Row],[ChannelSymbol]] &amp; ".evtx"
)</f>
        <v/>
      </c>
      <c r="V950" s="20" t="str">
        <f>IF(
   T_Channel[[#This Row],[Check]]&lt;&gt;"OK",
   "",
   T_Channel[[#This Row],[LogFolder]] &amp; "\" &amp; T_Channel[[#This Row],[LogFile]]
)</f>
        <v/>
      </c>
      <c r="W950" s="20" t="str">
        <f>IF(
   T_Channel[[#This Row],[Safekeeping of logs]]="",
   "",
   VLOOKUP(T_Channel[[#This Row],[Safekeeping of logs]],T_List_LogMode[],2,FALSE)
)</f>
        <v/>
      </c>
      <c r="X950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951" spans="2:24" x14ac:dyDescent="0.45">
      <c r="B951" s="7"/>
      <c r="C951" s="7"/>
      <c r="D951" s="7"/>
      <c r="E951" s="7"/>
      <c r="F951" s="6"/>
      <c r="G951" s="6"/>
      <c r="H951" s="6"/>
      <c r="I951" s="6"/>
      <c r="J951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951" s="21"/>
      <c r="L951" s="7"/>
      <c r="M951" s="41"/>
      <c r="N951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951" s="26" t="str">
        <f>IF(
   T_Channel[[#This Row],[ProviderName]]="",
   "",
   COUNTIF($N$12:$N$9982,T_Channel[[#This Row],[ProviderName]])
)</f>
        <v/>
      </c>
      <c r="P951" s="26" t="str">
        <f>IF(
   T_Channel[[#This Row],[Check]]&lt;&gt;"OK",
   "",
   IF(
      T_Channel[[#This Row],[Query]]="",
      "Empty",
      "Defined"
   )
)</f>
        <v/>
      </c>
      <c r="Q951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951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951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95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951" s="20" t="str">
        <f>IF(
   T_Channel[[#This Row],[Check]]&lt;&gt;"OK",
   "",
   T_Channel[[#This Row],[ChannelSymbol]] &amp; ".evtx"
)</f>
        <v/>
      </c>
      <c r="V951" s="20" t="str">
        <f>IF(
   T_Channel[[#This Row],[Check]]&lt;&gt;"OK",
   "",
   T_Channel[[#This Row],[LogFolder]] &amp; "\" &amp; T_Channel[[#This Row],[LogFile]]
)</f>
        <v/>
      </c>
      <c r="W951" s="20" t="str">
        <f>IF(
   T_Channel[[#This Row],[Safekeeping of logs]]="",
   "",
   VLOOKUP(T_Channel[[#This Row],[Safekeeping of logs]],T_List_LogMode[],2,FALSE)
)</f>
        <v/>
      </c>
      <c r="X951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952" spans="2:24" x14ac:dyDescent="0.45">
      <c r="B952" s="7"/>
      <c r="C952" s="7"/>
      <c r="D952" s="7"/>
      <c r="E952" s="7"/>
      <c r="F952" s="6"/>
      <c r="G952" s="6"/>
      <c r="H952" s="6"/>
      <c r="I952" s="6"/>
      <c r="J952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952" s="21"/>
      <c r="L952" s="7"/>
      <c r="M952" s="41"/>
      <c r="N952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952" s="26" t="str">
        <f>IF(
   T_Channel[[#This Row],[ProviderName]]="",
   "",
   COUNTIF($N$12:$N$9982,T_Channel[[#This Row],[ProviderName]])
)</f>
        <v/>
      </c>
      <c r="P952" s="26" t="str">
        <f>IF(
   T_Channel[[#This Row],[Check]]&lt;&gt;"OK",
   "",
   IF(
      T_Channel[[#This Row],[Query]]="",
      "Empty",
      "Defined"
   )
)</f>
        <v/>
      </c>
      <c r="Q952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952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952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95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952" s="20" t="str">
        <f>IF(
   T_Channel[[#This Row],[Check]]&lt;&gt;"OK",
   "",
   T_Channel[[#This Row],[ChannelSymbol]] &amp; ".evtx"
)</f>
        <v/>
      </c>
      <c r="V952" s="20" t="str">
        <f>IF(
   T_Channel[[#This Row],[Check]]&lt;&gt;"OK",
   "",
   T_Channel[[#This Row],[LogFolder]] &amp; "\" &amp; T_Channel[[#This Row],[LogFile]]
)</f>
        <v/>
      </c>
      <c r="W952" s="20" t="str">
        <f>IF(
   T_Channel[[#This Row],[Safekeeping of logs]]="",
   "",
   VLOOKUP(T_Channel[[#This Row],[Safekeeping of logs]],T_List_LogMode[],2,FALSE)
)</f>
        <v/>
      </c>
      <c r="X952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953" spans="2:24" x14ac:dyDescent="0.45">
      <c r="B953" s="7"/>
      <c r="C953" s="7"/>
      <c r="D953" s="7"/>
      <c r="E953" s="7"/>
      <c r="F953" s="6"/>
      <c r="G953" s="6"/>
      <c r="H953" s="6"/>
      <c r="I953" s="6"/>
      <c r="J953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953" s="21"/>
      <c r="L953" s="7"/>
      <c r="M953" s="41"/>
      <c r="N953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953" s="26" t="str">
        <f>IF(
   T_Channel[[#This Row],[ProviderName]]="",
   "",
   COUNTIF($N$12:$N$9982,T_Channel[[#This Row],[ProviderName]])
)</f>
        <v/>
      </c>
      <c r="P953" s="26" t="str">
        <f>IF(
   T_Channel[[#This Row],[Check]]&lt;&gt;"OK",
   "",
   IF(
      T_Channel[[#This Row],[Query]]="",
      "Empty",
      "Defined"
   )
)</f>
        <v/>
      </c>
      <c r="Q953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953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953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95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953" s="20" t="str">
        <f>IF(
   T_Channel[[#This Row],[Check]]&lt;&gt;"OK",
   "",
   T_Channel[[#This Row],[ChannelSymbol]] &amp; ".evtx"
)</f>
        <v/>
      </c>
      <c r="V953" s="20" t="str">
        <f>IF(
   T_Channel[[#This Row],[Check]]&lt;&gt;"OK",
   "",
   T_Channel[[#This Row],[LogFolder]] &amp; "\" &amp; T_Channel[[#This Row],[LogFile]]
)</f>
        <v/>
      </c>
      <c r="W953" s="20" t="str">
        <f>IF(
   T_Channel[[#This Row],[Safekeeping of logs]]="",
   "",
   VLOOKUP(T_Channel[[#This Row],[Safekeeping of logs]],T_List_LogMode[],2,FALSE)
)</f>
        <v/>
      </c>
      <c r="X953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954" spans="2:24" x14ac:dyDescent="0.45">
      <c r="B954" s="7"/>
      <c r="C954" s="7"/>
      <c r="D954" s="7"/>
      <c r="E954" s="7"/>
      <c r="F954" s="6"/>
      <c r="G954" s="6"/>
      <c r="H954" s="6"/>
      <c r="I954" s="6"/>
      <c r="J954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954" s="21"/>
      <c r="L954" s="7"/>
      <c r="M954" s="41"/>
      <c r="N954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954" s="26" t="str">
        <f>IF(
   T_Channel[[#This Row],[ProviderName]]="",
   "",
   COUNTIF($N$12:$N$9982,T_Channel[[#This Row],[ProviderName]])
)</f>
        <v/>
      </c>
      <c r="P954" s="26" t="str">
        <f>IF(
   T_Channel[[#This Row],[Check]]&lt;&gt;"OK",
   "",
   IF(
      T_Channel[[#This Row],[Query]]="",
      "Empty",
      "Defined"
   )
)</f>
        <v/>
      </c>
      <c r="Q954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954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954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95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954" s="20" t="str">
        <f>IF(
   T_Channel[[#This Row],[Check]]&lt;&gt;"OK",
   "",
   T_Channel[[#This Row],[ChannelSymbol]] &amp; ".evtx"
)</f>
        <v/>
      </c>
      <c r="V954" s="20" t="str">
        <f>IF(
   T_Channel[[#This Row],[Check]]&lt;&gt;"OK",
   "",
   T_Channel[[#This Row],[LogFolder]] &amp; "\" &amp; T_Channel[[#This Row],[LogFile]]
)</f>
        <v/>
      </c>
      <c r="W954" s="20" t="str">
        <f>IF(
   T_Channel[[#This Row],[Safekeeping of logs]]="",
   "",
   VLOOKUP(T_Channel[[#This Row],[Safekeeping of logs]],T_List_LogMode[],2,FALSE)
)</f>
        <v/>
      </c>
      <c r="X954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955" spans="2:24" x14ac:dyDescent="0.45">
      <c r="B955" s="7"/>
      <c r="C955" s="7"/>
      <c r="D955" s="7"/>
      <c r="E955" s="7"/>
      <c r="F955" s="6"/>
      <c r="G955" s="6"/>
      <c r="H955" s="6"/>
      <c r="I955" s="6"/>
      <c r="J955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955" s="21"/>
      <c r="L955" s="7"/>
      <c r="M955" s="41"/>
      <c r="N955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955" s="26" t="str">
        <f>IF(
   T_Channel[[#This Row],[ProviderName]]="",
   "",
   COUNTIF($N$12:$N$9982,T_Channel[[#This Row],[ProviderName]])
)</f>
        <v/>
      </c>
      <c r="P955" s="26" t="str">
        <f>IF(
   T_Channel[[#This Row],[Check]]&lt;&gt;"OK",
   "",
   IF(
      T_Channel[[#This Row],[Query]]="",
      "Empty",
      "Defined"
   )
)</f>
        <v/>
      </c>
      <c r="Q955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955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955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95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955" s="20" t="str">
        <f>IF(
   T_Channel[[#This Row],[Check]]&lt;&gt;"OK",
   "",
   T_Channel[[#This Row],[ChannelSymbol]] &amp; ".evtx"
)</f>
        <v/>
      </c>
      <c r="V955" s="20" t="str">
        <f>IF(
   T_Channel[[#This Row],[Check]]&lt;&gt;"OK",
   "",
   T_Channel[[#This Row],[LogFolder]] &amp; "\" &amp; T_Channel[[#This Row],[LogFile]]
)</f>
        <v/>
      </c>
      <c r="W955" s="20" t="str">
        <f>IF(
   T_Channel[[#This Row],[Safekeeping of logs]]="",
   "",
   VLOOKUP(T_Channel[[#This Row],[Safekeeping of logs]],T_List_LogMode[],2,FALSE)
)</f>
        <v/>
      </c>
      <c r="X955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956" spans="2:24" x14ac:dyDescent="0.45">
      <c r="B956" s="7"/>
      <c r="C956" s="7"/>
      <c r="D956" s="7"/>
      <c r="E956" s="7"/>
      <c r="F956" s="6"/>
      <c r="G956" s="6"/>
      <c r="H956" s="6"/>
      <c r="I956" s="6"/>
      <c r="J956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956" s="21"/>
      <c r="L956" s="7"/>
      <c r="M956" s="41"/>
      <c r="N956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956" s="26" t="str">
        <f>IF(
   T_Channel[[#This Row],[ProviderName]]="",
   "",
   COUNTIF($N$12:$N$9982,T_Channel[[#This Row],[ProviderName]])
)</f>
        <v/>
      </c>
      <c r="P956" s="26" t="str">
        <f>IF(
   T_Channel[[#This Row],[Check]]&lt;&gt;"OK",
   "",
   IF(
      T_Channel[[#This Row],[Query]]="",
      "Empty",
      "Defined"
   )
)</f>
        <v/>
      </c>
      <c r="Q956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956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956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95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956" s="20" t="str">
        <f>IF(
   T_Channel[[#This Row],[Check]]&lt;&gt;"OK",
   "",
   T_Channel[[#This Row],[ChannelSymbol]] &amp; ".evtx"
)</f>
        <v/>
      </c>
      <c r="V956" s="20" t="str">
        <f>IF(
   T_Channel[[#This Row],[Check]]&lt;&gt;"OK",
   "",
   T_Channel[[#This Row],[LogFolder]] &amp; "\" &amp; T_Channel[[#This Row],[LogFile]]
)</f>
        <v/>
      </c>
      <c r="W956" s="20" t="str">
        <f>IF(
   T_Channel[[#This Row],[Safekeeping of logs]]="",
   "",
   VLOOKUP(T_Channel[[#This Row],[Safekeeping of logs]],T_List_LogMode[],2,FALSE)
)</f>
        <v/>
      </c>
      <c r="X956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957" spans="2:24" x14ac:dyDescent="0.45">
      <c r="B957" s="7"/>
      <c r="C957" s="7"/>
      <c r="D957" s="7"/>
      <c r="E957" s="7"/>
      <c r="F957" s="6"/>
      <c r="G957" s="6"/>
      <c r="H957" s="6"/>
      <c r="I957" s="6"/>
      <c r="J957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957" s="21"/>
      <c r="L957" s="7"/>
      <c r="M957" s="41"/>
      <c r="N957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957" s="26" t="str">
        <f>IF(
   T_Channel[[#This Row],[ProviderName]]="",
   "",
   COUNTIF($N$12:$N$9982,T_Channel[[#This Row],[ProviderName]])
)</f>
        <v/>
      </c>
      <c r="P957" s="26" t="str">
        <f>IF(
   T_Channel[[#This Row],[Check]]&lt;&gt;"OK",
   "",
   IF(
      T_Channel[[#This Row],[Query]]="",
      "Empty",
      "Defined"
   )
)</f>
        <v/>
      </c>
      <c r="Q957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957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957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95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957" s="20" t="str">
        <f>IF(
   T_Channel[[#This Row],[Check]]&lt;&gt;"OK",
   "",
   T_Channel[[#This Row],[ChannelSymbol]] &amp; ".evtx"
)</f>
        <v/>
      </c>
      <c r="V957" s="20" t="str">
        <f>IF(
   T_Channel[[#This Row],[Check]]&lt;&gt;"OK",
   "",
   T_Channel[[#This Row],[LogFolder]] &amp; "\" &amp; T_Channel[[#This Row],[LogFile]]
)</f>
        <v/>
      </c>
      <c r="W957" s="20" t="str">
        <f>IF(
   T_Channel[[#This Row],[Safekeeping of logs]]="",
   "",
   VLOOKUP(T_Channel[[#This Row],[Safekeeping of logs]],T_List_LogMode[],2,FALSE)
)</f>
        <v/>
      </c>
      <c r="X957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958" spans="2:24" x14ac:dyDescent="0.45">
      <c r="B958" s="7"/>
      <c r="C958" s="7"/>
      <c r="D958" s="7"/>
      <c r="E958" s="7"/>
      <c r="F958" s="6"/>
      <c r="G958" s="6"/>
      <c r="H958" s="6"/>
      <c r="I958" s="6"/>
      <c r="J958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958" s="21"/>
      <c r="L958" s="7"/>
      <c r="M958" s="41"/>
      <c r="N958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958" s="26" t="str">
        <f>IF(
   T_Channel[[#This Row],[ProviderName]]="",
   "",
   COUNTIF($N$12:$N$9982,T_Channel[[#This Row],[ProviderName]])
)</f>
        <v/>
      </c>
      <c r="P958" s="26" t="str">
        <f>IF(
   T_Channel[[#This Row],[Check]]&lt;&gt;"OK",
   "",
   IF(
      T_Channel[[#This Row],[Query]]="",
      "Empty",
      "Defined"
   )
)</f>
        <v/>
      </c>
      <c r="Q958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958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958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95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958" s="20" t="str">
        <f>IF(
   T_Channel[[#This Row],[Check]]&lt;&gt;"OK",
   "",
   T_Channel[[#This Row],[ChannelSymbol]] &amp; ".evtx"
)</f>
        <v/>
      </c>
      <c r="V958" s="20" t="str">
        <f>IF(
   T_Channel[[#This Row],[Check]]&lt;&gt;"OK",
   "",
   T_Channel[[#This Row],[LogFolder]] &amp; "\" &amp; T_Channel[[#This Row],[LogFile]]
)</f>
        <v/>
      </c>
      <c r="W958" s="20" t="str">
        <f>IF(
   T_Channel[[#This Row],[Safekeeping of logs]]="",
   "",
   VLOOKUP(T_Channel[[#This Row],[Safekeeping of logs]],T_List_LogMode[],2,FALSE)
)</f>
        <v/>
      </c>
      <c r="X958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959" spans="2:24" x14ac:dyDescent="0.45">
      <c r="B959" s="7"/>
      <c r="C959" s="7"/>
      <c r="D959" s="7"/>
      <c r="E959" s="7"/>
      <c r="F959" s="6"/>
      <c r="G959" s="6"/>
      <c r="H959" s="6"/>
      <c r="I959" s="6"/>
      <c r="J959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959" s="21"/>
      <c r="L959" s="7"/>
      <c r="M959" s="41"/>
      <c r="N959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959" s="26" t="str">
        <f>IF(
   T_Channel[[#This Row],[ProviderName]]="",
   "",
   COUNTIF($N$12:$N$9982,T_Channel[[#This Row],[ProviderName]])
)</f>
        <v/>
      </c>
      <c r="P959" s="26" t="str">
        <f>IF(
   T_Channel[[#This Row],[Check]]&lt;&gt;"OK",
   "",
   IF(
      T_Channel[[#This Row],[Query]]="",
      "Empty",
      "Defined"
   )
)</f>
        <v/>
      </c>
      <c r="Q959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959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959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95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959" s="20" t="str">
        <f>IF(
   T_Channel[[#This Row],[Check]]&lt;&gt;"OK",
   "",
   T_Channel[[#This Row],[ChannelSymbol]] &amp; ".evtx"
)</f>
        <v/>
      </c>
      <c r="V959" s="20" t="str">
        <f>IF(
   T_Channel[[#This Row],[Check]]&lt;&gt;"OK",
   "",
   T_Channel[[#This Row],[LogFolder]] &amp; "\" &amp; T_Channel[[#This Row],[LogFile]]
)</f>
        <v/>
      </c>
      <c r="W959" s="20" t="str">
        <f>IF(
   T_Channel[[#This Row],[Safekeeping of logs]]="",
   "",
   VLOOKUP(T_Channel[[#This Row],[Safekeeping of logs]],T_List_LogMode[],2,FALSE)
)</f>
        <v/>
      </c>
      <c r="X959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960" spans="2:24" x14ac:dyDescent="0.45">
      <c r="B960" s="7"/>
      <c r="C960" s="7"/>
      <c r="D960" s="7"/>
      <c r="E960" s="7"/>
      <c r="F960" s="6"/>
      <c r="G960" s="6"/>
      <c r="H960" s="6"/>
      <c r="I960" s="6"/>
      <c r="J960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960" s="21"/>
      <c r="L960" s="7"/>
      <c r="M960" s="41"/>
      <c r="N960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960" s="26" t="str">
        <f>IF(
   T_Channel[[#This Row],[ProviderName]]="",
   "",
   COUNTIF($N$12:$N$9982,T_Channel[[#This Row],[ProviderName]])
)</f>
        <v/>
      </c>
      <c r="P960" s="26" t="str">
        <f>IF(
   T_Channel[[#This Row],[Check]]&lt;&gt;"OK",
   "",
   IF(
      T_Channel[[#This Row],[Query]]="",
      "Empty",
      "Defined"
   )
)</f>
        <v/>
      </c>
      <c r="Q960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960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960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96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960" s="20" t="str">
        <f>IF(
   T_Channel[[#This Row],[Check]]&lt;&gt;"OK",
   "",
   T_Channel[[#This Row],[ChannelSymbol]] &amp; ".evtx"
)</f>
        <v/>
      </c>
      <c r="V960" s="20" t="str">
        <f>IF(
   T_Channel[[#This Row],[Check]]&lt;&gt;"OK",
   "",
   T_Channel[[#This Row],[LogFolder]] &amp; "\" &amp; T_Channel[[#This Row],[LogFile]]
)</f>
        <v/>
      </c>
      <c r="W960" s="20" t="str">
        <f>IF(
   T_Channel[[#This Row],[Safekeeping of logs]]="",
   "",
   VLOOKUP(T_Channel[[#This Row],[Safekeeping of logs]],T_List_LogMode[],2,FALSE)
)</f>
        <v/>
      </c>
      <c r="X960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961" spans="2:24" x14ac:dyDescent="0.45">
      <c r="B961" s="7"/>
      <c r="C961" s="7"/>
      <c r="D961" s="7"/>
      <c r="E961" s="7"/>
      <c r="F961" s="6"/>
      <c r="G961" s="6"/>
      <c r="H961" s="6"/>
      <c r="I961" s="6"/>
      <c r="J961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961" s="21"/>
      <c r="L961" s="7"/>
      <c r="M961" s="41"/>
      <c r="N961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961" s="26" t="str">
        <f>IF(
   T_Channel[[#This Row],[ProviderName]]="",
   "",
   COUNTIF($N$12:$N$9982,T_Channel[[#This Row],[ProviderName]])
)</f>
        <v/>
      </c>
      <c r="P961" s="26" t="str">
        <f>IF(
   T_Channel[[#This Row],[Check]]&lt;&gt;"OK",
   "",
   IF(
      T_Channel[[#This Row],[Query]]="",
      "Empty",
      "Defined"
   )
)</f>
        <v/>
      </c>
      <c r="Q961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961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961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96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961" s="20" t="str">
        <f>IF(
   T_Channel[[#This Row],[Check]]&lt;&gt;"OK",
   "",
   T_Channel[[#This Row],[ChannelSymbol]] &amp; ".evtx"
)</f>
        <v/>
      </c>
      <c r="V961" s="20" t="str">
        <f>IF(
   T_Channel[[#This Row],[Check]]&lt;&gt;"OK",
   "",
   T_Channel[[#This Row],[LogFolder]] &amp; "\" &amp; T_Channel[[#This Row],[LogFile]]
)</f>
        <v/>
      </c>
      <c r="W961" s="20" t="str">
        <f>IF(
   T_Channel[[#This Row],[Safekeeping of logs]]="",
   "",
   VLOOKUP(T_Channel[[#This Row],[Safekeeping of logs]],T_List_LogMode[],2,FALSE)
)</f>
        <v/>
      </c>
      <c r="X961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962" spans="2:24" x14ac:dyDescent="0.45">
      <c r="B962" s="7"/>
      <c r="C962" s="7"/>
      <c r="D962" s="7"/>
      <c r="E962" s="7"/>
      <c r="F962" s="6"/>
      <c r="G962" s="6"/>
      <c r="H962" s="6"/>
      <c r="I962" s="6"/>
      <c r="J962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962" s="21"/>
      <c r="L962" s="7"/>
      <c r="M962" s="41"/>
      <c r="N962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962" s="26" t="str">
        <f>IF(
   T_Channel[[#This Row],[ProviderName]]="",
   "",
   COUNTIF($N$12:$N$9982,T_Channel[[#This Row],[ProviderName]])
)</f>
        <v/>
      </c>
      <c r="P962" s="26" t="str">
        <f>IF(
   T_Channel[[#This Row],[Check]]&lt;&gt;"OK",
   "",
   IF(
      T_Channel[[#This Row],[Query]]="",
      "Empty",
      "Defined"
   )
)</f>
        <v/>
      </c>
      <c r="Q962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962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962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96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962" s="20" t="str">
        <f>IF(
   T_Channel[[#This Row],[Check]]&lt;&gt;"OK",
   "",
   T_Channel[[#This Row],[ChannelSymbol]] &amp; ".evtx"
)</f>
        <v/>
      </c>
      <c r="V962" s="20" t="str">
        <f>IF(
   T_Channel[[#This Row],[Check]]&lt;&gt;"OK",
   "",
   T_Channel[[#This Row],[LogFolder]] &amp; "\" &amp; T_Channel[[#This Row],[LogFile]]
)</f>
        <v/>
      </c>
      <c r="W962" s="20" t="str">
        <f>IF(
   T_Channel[[#This Row],[Safekeeping of logs]]="",
   "",
   VLOOKUP(T_Channel[[#This Row],[Safekeeping of logs]],T_List_LogMode[],2,FALSE)
)</f>
        <v/>
      </c>
      <c r="X962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963" spans="2:24" x14ac:dyDescent="0.45">
      <c r="B963" s="7"/>
      <c r="C963" s="7"/>
      <c r="D963" s="7"/>
      <c r="E963" s="7"/>
      <c r="F963" s="6"/>
      <c r="G963" s="6"/>
      <c r="H963" s="6"/>
      <c r="I963" s="6"/>
      <c r="J963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963" s="21"/>
      <c r="L963" s="7"/>
      <c r="M963" s="41"/>
      <c r="N963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963" s="26" t="str">
        <f>IF(
   T_Channel[[#This Row],[ProviderName]]="",
   "",
   COUNTIF($N$12:$N$9982,T_Channel[[#This Row],[ProviderName]])
)</f>
        <v/>
      </c>
      <c r="P963" s="26" t="str">
        <f>IF(
   T_Channel[[#This Row],[Check]]&lt;&gt;"OK",
   "",
   IF(
      T_Channel[[#This Row],[Query]]="",
      "Empty",
      "Defined"
   )
)</f>
        <v/>
      </c>
      <c r="Q963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963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963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96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963" s="20" t="str">
        <f>IF(
   T_Channel[[#This Row],[Check]]&lt;&gt;"OK",
   "",
   T_Channel[[#This Row],[ChannelSymbol]] &amp; ".evtx"
)</f>
        <v/>
      </c>
      <c r="V963" s="20" t="str">
        <f>IF(
   T_Channel[[#This Row],[Check]]&lt;&gt;"OK",
   "",
   T_Channel[[#This Row],[LogFolder]] &amp; "\" &amp; T_Channel[[#This Row],[LogFile]]
)</f>
        <v/>
      </c>
      <c r="W963" s="20" t="str">
        <f>IF(
   T_Channel[[#This Row],[Safekeeping of logs]]="",
   "",
   VLOOKUP(T_Channel[[#This Row],[Safekeeping of logs]],T_List_LogMode[],2,FALSE)
)</f>
        <v/>
      </c>
      <c r="X963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964" spans="2:24" x14ac:dyDescent="0.45">
      <c r="B964" s="7"/>
      <c r="C964" s="7"/>
      <c r="D964" s="7"/>
      <c r="E964" s="7"/>
      <c r="F964" s="6"/>
      <c r="G964" s="6"/>
      <c r="H964" s="6"/>
      <c r="I964" s="6"/>
      <c r="J964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964" s="21"/>
      <c r="L964" s="7"/>
      <c r="M964" s="41"/>
      <c r="N964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964" s="26" t="str">
        <f>IF(
   T_Channel[[#This Row],[ProviderName]]="",
   "",
   COUNTIF($N$12:$N$9982,T_Channel[[#This Row],[ProviderName]])
)</f>
        <v/>
      </c>
      <c r="P964" s="26" t="str">
        <f>IF(
   T_Channel[[#This Row],[Check]]&lt;&gt;"OK",
   "",
   IF(
      T_Channel[[#This Row],[Query]]="",
      "Empty",
      "Defined"
   )
)</f>
        <v/>
      </c>
      <c r="Q964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964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964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96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964" s="20" t="str">
        <f>IF(
   T_Channel[[#This Row],[Check]]&lt;&gt;"OK",
   "",
   T_Channel[[#This Row],[ChannelSymbol]] &amp; ".evtx"
)</f>
        <v/>
      </c>
      <c r="V964" s="20" t="str">
        <f>IF(
   T_Channel[[#This Row],[Check]]&lt;&gt;"OK",
   "",
   T_Channel[[#This Row],[LogFolder]] &amp; "\" &amp; T_Channel[[#This Row],[LogFile]]
)</f>
        <v/>
      </c>
      <c r="W964" s="20" t="str">
        <f>IF(
   T_Channel[[#This Row],[Safekeeping of logs]]="",
   "",
   VLOOKUP(T_Channel[[#This Row],[Safekeeping of logs]],T_List_LogMode[],2,FALSE)
)</f>
        <v/>
      </c>
      <c r="X964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965" spans="2:24" x14ac:dyDescent="0.45">
      <c r="B965" s="7"/>
      <c r="C965" s="7"/>
      <c r="D965" s="7"/>
      <c r="E965" s="7"/>
      <c r="F965" s="6"/>
      <c r="G965" s="6"/>
      <c r="H965" s="6"/>
      <c r="I965" s="6"/>
      <c r="J965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965" s="21"/>
      <c r="L965" s="7"/>
      <c r="M965" s="41"/>
      <c r="N965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965" s="26" t="str">
        <f>IF(
   T_Channel[[#This Row],[ProviderName]]="",
   "",
   COUNTIF($N$12:$N$9982,T_Channel[[#This Row],[ProviderName]])
)</f>
        <v/>
      </c>
      <c r="P965" s="26" t="str">
        <f>IF(
   T_Channel[[#This Row],[Check]]&lt;&gt;"OK",
   "",
   IF(
      T_Channel[[#This Row],[Query]]="",
      "Empty",
      "Defined"
   )
)</f>
        <v/>
      </c>
      <c r="Q965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965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965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96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965" s="20" t="str">
        <f>IF(
   T_Channel[[#This Row],[Check]]&lt;&gt;"OK",
   "",
   T_Channel[[#This Row],[ChannelSymbol]] &amp; ".evtx"
)</f>
        <v/>
      </c>
      <c r="V965" s="20" t="str">
        <f>IF(
   T_Channel[[#This Row],[Check]]&lt;&gt;"OK",
   "",
   T_Channel[[#This Row],[LogFolder]] &amp; "\" &amp; T_Channel[[#This Row],[LogFile]]
)</f>
        <v/>
      </c>
      <c r="W965" s="20" t="str">
        <f>IF(
   T_Channel[[#This Row],[Safekeeping of logs]]="",
   "",
   VLOOKUP(T_Channel[[#This Row],[Safekeeping of logs]],T_List_LogMode[],2,FALSE)
)</f>
        <v/>
      </c>
      <c r="X965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966" spans="2:24" x14ac:dyDescent="0.45">
      <c r="B966" s="7"/>
      <c r="C966" s="7"/>
      <c r="D966" s="7"/>
      <c r="E966" s="7"/>
      <c r="F966" s="6"/>
      <c r="G966" s="6"/>
      <c r="H966" s="6"/>
      <c r="I966" s="6"/>
      <c r="J966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966" s="21"/>
      <c r="L966" s="7"/>
      <c r="M966" s="41"/>
      <c r="N966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966" s="26" t="str">
        <f>IF(
   T_Channel[[#This Row],[ProviderName]]="",
   "",
   COUNTIF($N$12:$N$9982,T_Channel[[#This Row],[ProviderName]])
)</f>
        <v/>
      </c>
      <c r="P966" s="26" t="str">
        <f>IF(
   T_Channel[[#This Row],[Check]]&lt;&gt;"OK",
   "",
   IF(
      T_Channel[[#This Row],[Query]]="",
      "Empty",
      "Defined"
   )
)</f>
        <v/>
      </c>
      <c r="Q966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966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966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96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966" s="20" t="str">
        <f>IF(
   T_Channel[[#This Row],[Check]]&lt;&gt;"OK",
   "",
   T_Channel[[#This Row],[ChannelSymbol]] &amp; ".evtx"
)</f>
        <v/>
      </c>
      <c r="V966" s="20" t="str">
        <f>IF(
   T_Channel[[#This Row],[Check]]&lt;&gt;"OK",
   "",
   T_Channel[[#This Row],[LogFolder]] &amp; "\" &amp; T_Channel[[#This Row],[LogFile]]
)</f>
        <v/>
      </c>
      <c r="W966" s="20" t="str">
        <f>IF(
   T_Channel[[#This Row],[Safekeeping of logs]]="",
   "",
   VLOOKUP(T_Channel[[#This Row],[Safekeeping of logs]],T_List_LogMode[],2,FALSE)
)</f>
        <v/>
      </c>
      <c r="X966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967" spans="2:24" x14ac:dyDescent="0.45">
      <c r="B967" s="7"/>
      <c r="C967" s="7"/>
      <c r="D967" s="7"/>
      <c r="E967" s="7"/>
      <c r="F967" s="6"/>
      <c r="G967" s="6"/>
      <c r="H967" s="6"/>
      <c r="I967" s="6"/>
      <c r="J967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967" s="21"/>
      <c r="L967" s="7"/>
      <c r="M967" s="41"/>
      <c r="N967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967" s="26" t="str">
        <f>IF(
   T_Channel[[#This Row],[ProviderName]]="",
   "",
   COUNTIF($N$12:$N$9982,T_Channel[[#This Row],[ProviderName]])
)</f>
        <v/>
      </c>
      <c r="P967" s="26" t="str">
        <f>IF(
   T_Channel[[#This Row],[Check]]&lt;&gt;"OK",
   "",
   IF(
      T_Channel[[#This Row],[Query]]="",
      "Empty",
      "Defined"
   )
)</f>
        <v/>
      </c>
      <c r="Q967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967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967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96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967" s="20" t="str">
        <f>IF(
   T_Channel[[#This Row],[Check]]&lt;&gt;"OK",
   "",
   T_Channel[[#This Row],[ChannelSymbol]] &amp; ".evtx"
)</f>
        <v/>
      </c>
      <c r="V967" s="20" t="str">
        <f>IF(
   T_Channel[[#This Row],[Check]]&lt;&gt;"OK",
   "",
   T_Channel[[#This Row],[LogFolder]] &amp; "\" &amp; T_Channel[[#This Row],[LogFile]]
)</f>
        <v/>
      </c>
      <c r="W967" s="20" t="str">
        <f>IF(
   T_Channel[[#This Row],[Safekeeping of logs]]="",
   "",
   VLOOKUP(T_Channel[[#This Row],[Safekeeping of logs]],T_List_LogMode[],2,FALSE)
)</f>
        <v/>
      </c>
      <c r="X967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968" spans="2:24" x14ac:dyDescent="0.45">
      <c r="B968" s="7"/>
      <c r="C968" s="7"/>
      <c r="D968" s="7"/>
      <c r="E968" s="7"/>
      <c r="F968" s="6"/>
      <c r="G968" s="6"/>
      <c r="H968" s="6"/>
      <c r="I968" s="6"/>
      <c r="J968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968" s="21"/>
      <c r="L968" s="7"/>
      <c r="M968" s="41"/>
      <c r="N968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968" s="26" t="str">
        <f>IF(
   T_Channel[[#This Row],[ProviderName]]="",
   "",
   COUNTIF($N$12:$N$9982,T_Channel[[#This Row],[ProviderName]])
)</f>
        <v/>
      </c>
      <c r="P968" s="26" t="str">
        <f>IF(
   T_Channel[[#This Row],[Check]]&lt;&gt;"OK",
   "",
   IF(
      T_Channel[[#This Row],[Query]]="",
      "Empty",
      "Defined"
   )
)</f>
        <v/>
      </c>
      <c r="Q968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968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968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96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968" s="20" t="str">
        <f>IF(
   T_Channel[[#This Row],[Check]]&lt;&gt;"OK",
   "",
   T_Channel[[#This Row],[ChannelSymbol]] &amp; ".evtx"
)</f>
        <v/>
      </c>
      <c r="V968" s="20" t="str">
        <f>IF(
   T_Channel[[#This Row],[Check]]&lt;&gt;"OK",
   "",
   T_Channel[[#This Row],[LogFolder]] &amp; "\" &amp; T_Channel[[#This Row],[LogFile]]
)</f>
        <v/>
      </c>
      <c r="W968" s="20" t="str">
        <f>IF(
   T_Channel[[#This Row],[Safekeeping of logs]]="",
   "",
   VLOOKUP(T_Channel[[#This Row],[Safekeeping of logs]],T_List_LogMode[],2,FALSE)
)</f>
        <v/>
      </c>
      <c r="X968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969" spans="2:24" x14ac:dyDescent="0.45">
      <c r="B969" s="7"/>
      <c r="C969" s="7"/>
      <c r="D969" s="7"/>
      <c r="E969" s="7"/>
      <c r="F969" s="6"/>
      <c r="G969" s="6"/>
      <c r="H969" s="6"/>
      <c r="I969" s="6"/>
      <c r="J969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969" s="21"/>
      <c r="L969" s="7"/>
      <c r="M969" s="41"/>
      <c r="N969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969" s="26" t="str">
        <f>IF(
   T_Channel[[#This Row],[ProviderName]]="",
   "",
   COUNTIF($N$12:$N$9982,T_Channel[[#This Row],[ProviderName]])
)</f>
        <v/>
      </c>
      <c r="P969" s="26" t="str">
        <f>IF(
   T_Channel[[#This Row],[Check]]&lt;&gt;"OK",
   "",
   IF(
      T_Channel[[#This Row],[Query]]="",
      "Empty",
      "Defined"
   )
)</f>
        <v/>
      </c>
      <c r="Q969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969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969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96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969" s="20" t="str">
        <f>IF(
   T_Channel[[#This Row],[Check]]&lt;&gt;"OK",
   "",
   T_Channel[[#This Row],[ChannelSymbol]] &amp; ".evtx"
)</f>
        <v/>
      </c>
      <c r="V969" s="20" t="str">
        <f>IF(
   T_Channel[[#This Row],[Check]]&lt;&gt;"OK",
   "",
   T_Channel[[#This Row],[LogFolder]] &amp; "\" &amp; T_Channel[[#This Row],[LogFile]]
)</f>
        <v/>
      </c>
      <c r="W969" s="20" t="str">
        <f>IF(
   T_Channel[[#This Row],[Safekeeping of logs]]="",
   "",
   VLOOKUP(T_Channel[[#This Row],[Safekeeping of logs]],T_List_LogMode[],2,FALSE)
)</f>
        <v/>
      </c>
      <c r="X969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970" spans="2:24" x14ac:dyDescent="0.45">
      <c r="B970" s="7"/>
      <c r="C970" s="7"/>
      <c r="D970" s="7"/>
      <c r="E970" s="7"/>
      <c r="F970" s="6"/>
      <c r="G970" s="6"/>
      <c r="H970" s="6"/>
      <c r="I970" s="6"/>
      <c r="J970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970" s="21"/>
      <c r="L970" s="7"/>
      <c r="M970" s="41"/>
      <c r="N970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970" s="26" t="str">
        <f>IF(
   T_Channel[[#This Row],[ProviderName]]="",
   "",
   COUNTIF($N$12:$N$9982,T_Channel[[#This Row],[ProviderName]])
)</f>
        <v/>
      </c>
      <c r="P970" s="26" t="str">
        <f>IF(
   T_Channel[[#This Row],[Check]]&lt;&gt;"OK",
   "",
   IF(
      T_Channel[[#This Row],[Query]]="",
      "Empty",
      "Defined"
   )
)</f>
        <v/>
      </c>
      <c r="Q970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970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970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97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970" s="20" t="str">
        <f>IF(
   T_Channel[[#This Row],[Check]]&lt;&gt;"OK",
   "",
   T_Channel[[#This Row],[ChannelSymbol]] &amp; ".evtx"
)</f>
        <v/>
      </c>
      <c r="V970" s="20" t="str">
        <f>IF(
   T_Channel[[#This Row],[Check]]&lt;&gt;"OK",
   "",
   T_Channel[[#This Row],[LogFolder]] &amp; "\" &amp; T_Channel[[#This Row],[LogFile]]
)</f>
        <v/>
      </c>
      <c r="W970" s="20" t="str">
        <f>IF(
   T_Channel[[#This Row],[Safekeeping of logs]]="",
   "",
   VLOOKUP(T_Channel[[#This Row],[Safekeeping of logs]],T_List_LogMode[],2,FALSE)
)</f>
        <v/>
      </c>
      <c r="X970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971" spans="2:24" x14ac:dyDescent="0.45">
      <c r="B971" s="7"/>
      <c r="C971" s="7"/>
      <c r="D971" s="7"/>
      <c r="E971" s="7"/>
      <c r="F971" s="6"/>
      <c r="G971" s="6"/>
      <c r="H971" s="6"/>
      <c r="I971" s="6"/>
      <c r="J971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971" s="21"/>
      <c r="L971" s="7"/>
      <c r="M971" s="41"/>
      <c r="N971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971" s="26" t="str">
        <f>IF(
   T_Channel[[#This Row],[ProviderName]]="",
   "",
   COUNTIF($N$12:$N$9982,T_Channel[[#This Row],[ProviderName]])
)</f>
        <v/>
      </c>
      <c r="P971" s="26" t="str">
        <f>IF(
   T_Channel[[#This Row],[Check]]&lt;&gt;"OK",
   "",
   IF(
      T_Channel[[#This Row],[Query]]="",
      "Empty",
      "Defined"
   )
)</f>
        <v/>
      </c>
      <c r="Q971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971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971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97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971" s="20" t="str">
        <f>IF(
   T_Channel[[#This Row],[Check]]&lt;&gt;"OK",
   "",
   T_Channel[[#This Row],[ChannelSymbol]] &amp; ".evtx"
)</f>
        <v/>
      </c>
      <c r="V971" s="20" t="str">
        <f>IF(
   T_Channel[[#This Row],[Check]]&lt;&gt;"OK",
   "",
   T_Channel[[#This Row],[LogFolder]] &amp; "\" &amp; T_Channel[[#This Row],[LogFile]]
)</f>
        <v/>
      </c>
      <c r="W971" s="20" t="str">
        <f>IF(
   T_Channel[[#This Row],[Safekeeping of logs]]="",
   "",
   VLOOKUP(T_Channel[[#This Row],[Safekeeping of logs]],T_List_LogMode[],2,FALSE)
)</f>
        <v/>
      </c>
      <c r="X971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972" spans="2:24" x14ac:dyDescent="0.45">
      <c r="B972" s="7"/>
      <c r="C972" s="7"/>
      <c r="D972" s="7"/>
      <c r="E972" s="7"/>
      <c r="F972" s="6"/>
      <c r="G972" s="6"/>
      <c r="H972" s="6"/>
      <c r="I972" s="6"/>
      <c r="J972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972" s="21"/>
      <c r="L972" s="7"/>
      <c r="M972" s="41"/>
      <c r="N972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972" s="26" t="str">
        <f>IF(
   T_Channel[[#This Row],[ProviderName]]="",
   "",
   COUNTIF($N$12:$N$9982,T_Channel[[#This Row],[ProviderName]])
)</f>
        <v/>
      </c>
      <c r="P972" s="26" t="str">
        <f>IF(
   T_Channel[[#This Row],[Check]]&lt;&gt;"OK",
   "",
   IF(
      T_Channel[[#This Row],[Query]]="",
      "Empty",
      "Defined"
   )
)</f>
        <v/>
      </c>
      <c r="Q972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972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972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97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972" s="20" t="str">
        <f>IF(
   T_Channel[[#This Row],[Check]]&lt;&gt;"OK",
   "",
   T_Channel[[#This Row],[ChannelSymbol]] &amp; ".evtx"
)</f>
        <v/>
      </c>
      <c r="V972" s="20" t="str">
        <f>IF(
   T_Channel[[#This Row],[Check]]&lt;&gt;"OK",
   "",
   T_Channel[[#This Row],[LogFolder]] &amp; "\" &amp; T_Channel[[#This Row],[LogFile]]
)</f>
        <v/>
      </c>
      <c r="W972" s="20" t="str">
        <f>IF(
   T_Channel[[#This Row],[Safekeeping of logs]]="",
   "",
   VLOOKUP(T_Channel[[#This Row],[Safekeeping of logs]],T_List_LogMode[],2,FALSE)
)</f>
        <v/>
      </c>
      <c r="X972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973" spans="2:24" x14ac:dyDescent="0.45">
      <c r="B973" s="7"/>
      <c r="C973" s="7"/>
      <c r="D973" s="7"/>
      <c r="E973" s="7"/>
      <c r="F973" s="6"/>
      <c r="G973" s="6"/>
      <c r="H973" s="6"/>
      <c r="I973" s="6"/>
      <c r="J973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973" s="21"/>
      <c r="L973" s="7"/>
      <c r="M973" s="41"/>
      <c r="N973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973" s="26" t="str">
        <f>IF(
   T_Channel[[#This Row],[ProviderName]]="",
   "",
   COUNTIF($N$12:$N$9982,T_Channel[[#This Row],[ProviderName]])
)</f>
        <v/>
      </c>
      <c r="P973" s="26" t="str">
        <f>IF(
   T_Channel[[#This Row],[Check]]&lt;&gt;"OK",
   "",
   IF(
      T_Channel[[#This Row],[Query]]="",
      "Empty",
      "Defined"
   )
)</f>
        <v/>
      </c>
      <c r="Q973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973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973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97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973" s="20" t="str">
        <f>IF(
   T_Channel[[#This Row],[Check]]&lt;&gt;"OK",
   "",
   T_Channel[[#This Row],[ChannelSymbol]] &amp; ".evtx"
)</f>
        <v/>
      </c>
      <c r="V973" s="20" t="str">
        <f>IF(
   T_Channel[[#This Row],[Check]]&lt;&gt;"OK",
   "",
   T_Channel[[#This Row],[LogFolder]] &amp; "\" &amp; T_Channel[[#This Row],[LogFile]]
)</f>
        <v/>
      </c>
      <c r="W973" s="20" t="str">
        <f>IF(
   T_Channel[[#This Row],[Safekeeping of logs]]="",
   "",
   VLOOKUP(T_Channel[[#This Row],[Safekeeping of logs]],T_List_LogMode[],2,FALSE)
)</f>
        <v/>
      </c>
      <c r="X973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974" spans="2:24" x14ac:dyDescent="0.45">
      <c r="B974" s="7"/>
      <c r="C974" s="7"/>
      <c r="D974" s="7"/>
      <c r="E974" s="7"/>
      <c r="F974" s="6"/>
      <c r="G974" s="6"/>
      <c r="H974" s="6"/>
      <c r="I974" s="6"/>
      <c r="J974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974" s="21"/>
      <c r="L974" s="7"/>
      <c r="M974" s="41"/>
      <c r="N974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974" s="26" t="str">
        <f>IF(
   T_Channel[[#This Row],[ProviderName]]="",
   "",
   COUNTIF($N$12:$N$9982,T_Channel[[#This Row],[ProviderName]])
)</f>
        <v/>
      </c>
      <c r="P974" s="26" t="str">
        <f>IF(
   T_Channel[[#This Row],[Check]]&lt;&gt;"OK",
   "",
   IF(
      T_Channel[[#This Row],[Query]]="",
      "Empty",
      "Defined"
   )
)</f>
        <v/>
      </c>
      <c r="Q974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974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974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97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974" s="20" t="str">
        <f>IF(
   T_Channel[[#This Row],[Check]]&lt;&gt;"OK",
   "",
   T_Channel[[#This Row],[ChannelSymbol]] &amp; ".evtx"
)</f>
        <v/>
      </c>
      <c r="V974" s="20" t="str">
        <f>IF(
   T_Channel[[#This Row],[Check]]&lt;&gt;"OK",
   "",
   T_Channel[[#This Row],[LogFolder]] &amp; "\" &amp; T_Channel[[#This Row],[LogFile]]
)</f>
        <v/>
      </c>
      <c r="W974" s="20" t="str">
        <f>IF(
   T_Channel[[#This Row],[Safekeeping of logs]]="",
   "",
   VLOOKUP(T_Channel[[#This Row],[Safekeeping of logs]],T_List_LogMode[],2,FALSE)
)</f>
        <v/>
      </c>
      <c r="X974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975" spans="2:24" x14ac:dyDescent="0.45">
      <c r="B975" s="7"/>
      <c r="C975" s="7"/>
      <c r="D975" s="7"/>
      <c r="E975" s="7"/>
      <c r="F975" s="6"/>
      <c r="G975" s="6"/>
      <c r="H975" s="6"/>
      <c r="I975" s="6"/>
      <c r="J975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975" s="21"/>
      <c r="L975" s="7"/>
      <c r="M975" s="41"/>
      <c r="N975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975" s="26" t="str">
        <f>IF(
   T_Channel[[#This Row],[ProviderName]]="",
   "",
   COUNTIF($N$12:$N$9982,T_Channel[[#This Row],[ProviderName]])
)</f>
        <v/>
      </c>
      <c r="P975" s="26" t="str">
        <f>IF(
   T_Channel[[#This Row],[Check]]&lt;&gt;"OK",
   "",
   IF(
      T_Channel[[#This Row],[Query]]="",
      "Empty",
      "Defined"
   )
)</f>
        <v/>
      </c>
      <c r="Q975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975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975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97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975" s="20" t="str">
        <f>IF(
   T_Channel[[#This Row],[Check]]&lt;&gt;"OK",
   "",
   T_Channel[[#This Row],[ChannelSymbol]] &amp; ".evtx"
)</f>
        <v/>
      </c>
      <c r="V975" s="20" t="str">
        <f>IF(
   T_Channel[[#This Row],[Check]]&lt;&gt;"OK",
   "",
   T_Channel[[#This Row],[LogFolder]] &amp; "\" &amp; T_Channel[[#This Row],[LogFile]]
)</f>
        <v/>
      </c>
      <c r="W975" s="20" t="str">
        <f>IF(
   T_Channel[[#This Row],[Safekeeping of logs]]="",
   "",
   VLOOKUP(T_Channel[[#This Row],[Safekeeping of logs]],T_List_LogMode[],2,FALSE)
)</f>
        <v/>
      </c>
      <c r="X975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976" spans="2:24" x14ac:dyDescent="0.45">
      <c r="B976" s="7"/>
      <c r="C976" s="7"/>
      <c r="D976" s="7"/>
      <c r="E976" s="7"/>
      <c r="F976" s="6"/>
      <c r="G976" s="6"/>
      <c r="H976" s="6"/>
      <c r="I976" s="6"/>
      <c r="J976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976" s="21"/>
      <c r="L976" s="7"/>
      <c r="M976" s="41"/>
      <c r="N976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976" s="26" t="str">
        <f>IF(
   T_Channel[[#This Row],[ProviderName]]="",
   "",
   COUNTIF($N$12:$N$9982,T_Channel[[#This Row],[ProviderName]])
)</f>
        <v/>
      </c>
      <c r="P976" s="26" t="str">
        <f>IF(
   T_Channel[[#This Row],[Check]]&lt;&gt;"OK",
   "",
   IF(
      T_Channel[[#This Row],[Query]]="",
      "Empty",
      "Defined"
   )
)</f>
        <v/>
      </c>
      <c r="Q976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976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976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97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976" s="20" t="str">
        <f>IF(
   T_Channel[[#This Row],[Check]]&lt;&gt;"OK",
   "",
   T_Channel[[#This Row],[ChannelSymbol]] &amp; ".evtx"
)</f>
        <v/>
      </c>
      <c r="V976" s="20" t="str">
        <f>IF(
   T_Channel[[#This Row],[Check]]&lt;&gt;"OK",
   "",
   T_Channel[[#This Row],[LogFolder]] &amp; "\" &amp; T_Channel[[#This Row],[LogFile]]
)</f>
        <v/>
      </c>
      <c r="W976" s="20" t="str">
        <f>IF(
   T_Channel[[#This Row],[Safekeeping of logs]]="",
   "",
   VLOOKUP(T_Channel[[#This Row],[Safekeeping of logs]],T_List_LogMode[],2,FALSE)
)</f>
        <v/>
      </c>
      <c r="X976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977" spans="2:24" x14ac:dyDescent="0.45">
      <c r="B977" s="7"/>
      <c r="C977" s="7"/>
      <c r="D977" s="7"/>
      <c r="E977" s="7"/>
      <c r="F977" s="6"/>
      <c r="G977" s="6"/>
      <c r="H977" s="6"/>
      <c r="I977" s="6"/>
      <c r="J977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977" s="21"/>
      <c r="L977" s="7"/>
      <c r="M977" s="41"/>
      <c r="N977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977" s="26" t="str">
        <f>IF(
   T_Channel[[#This Row],[ProviderName]]="",
   "",
   COUNTIF($N$12:$N$9982,T_Channel[[#This Row],[ProviderName]])
)</f>
        <v/>
      </c>
      <c r="P977" s="26" t="str">
        <f>IF(
   T_Channel[[#This Row],[Check]]&lt;&gt;"OK",
   "",
   IF(
      T_Channel[[#This Row],[Query]]="",
      "Empty",
      "Defined"
   )
)</f>
        <v/>
      </c>
      <c r="Q977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977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977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97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977" s="20" t="str">
        <f>IF(
   T_Channel[[#This Row],[Check]]&lt;&gt;"OK",
   "",
   T_Channel[[#This Row],[ChannelSymbol]] &amp; ".evtx"
)</f>
        <v/>
      </c>
      <c r="V977" s="20" t="str">
        <f>IF(
   T_Channel[[#This Row],[Check]]&lt;&gt;"OK",
   "",
   T_Channel[[#This Row],[LogFolder]] &amp; "\" &amp; T_Channel[[#This Row],[LogFile]]
)</f>
        <v/>
      </c>
      <c r="W977" s="20" t="str">
        <f>IF(
   T_Channel[[#This Row],[Safekeeping of logs]]="",
   "",
   VLOOKUP(T_Channel[[#This Row],[Safekeeping of logs]],T_List_LogMode[],2,FALSE)
)</f>
        <v/>
      </c>
      <c r="X977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978" spans="2:24" x14ac:dyDescent="0.45">
      <c r="B978" s="7"/>
      <c r="C978" s="7"/>
      <c r="D978" s="7"/>
      <c r="E978" s="7"/>
      <c r="F978" s="6"/>
      <c r="G978" s="6"/>
      <c r="H978" s="6"/>
      <c r="I978" s="6"/>
      <c r="J978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978" s="21"/>
      <c r="L978" s="7"/>
      <c r="M978" s="41"/>
      <c r="N978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978" s="26" t="str">
        <f>IF(
   T_Channel[[#This Row],[ProviderName]]="",
   "",
   COUNTIF($N$12:$N$9982,T_Channel[[#This Row],[ProviderName]])
)</f>
        <v/>
      </c>
      <c r="P978" s="26" t="str">
        <f>IF(
   T_Channel[[#This Row],[Check]]&lt;&gt;"OK",
   "",
   IF(
      T_Channel[[#This Row],[Query]]="",
      "Empty",
      "Defined"
   )
)</f>
        <v/>
      </c>
      <c r="Q978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978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978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97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978" s="20" t="str">
        <f>IF(
   T_Channel[[#This Row],[Check]]&lt;&gt;"OK",
   "",
   T_Channel[[#This Row],[ChannelSymbol]] &amp; ".evtx"
)</f>
        <v/>
      </c>
      <c r="V978" s="20" t="str">
        <f>IF(
   T_Channel[[#This Row],[Check]]&lt;&gt;"OK",
   "",
   T_Channel[[#This Row],[LogFolder]] &amp; "\" &amp; T_Channel[[#This Row],[LogFile]]
)</f>
        <v/>
      </c>
      <c r="W978" s="20" t="str">
        <f>IF(
   T_Channel[[#This Row],[Safekeeping of logs]]="",
   "",
   VLOOKUP(T_Channel[[#This Row],[Safekeeping of logs]],T_List_LogMode[],2,FALSE)
)</f>
        <v/>
      </c>
      <c r="X978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979" spans="2:24" x14ac:dyDescent="0.45">
      <c r="B979" s="7"/>
      <c r="C979" s="7"/>
      <c r="D979" s="7"/>
      <c r="E979" s="7"/>
      <c r="F979" s="6"/>
      <c r="G979" s="6"/>
      <c r="H979" s="6"/>
      <c r="I979" s="6"/>
      <c r="J979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979" s="21"/>
      <c r="L979" s="7"/>
      <c r="M979" s="41"/>
      <c r="N979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979" s="26" t="str">
        <f>IF(
   T_Channel[[#This Row],[ProviderName]]="",
   "",
   COUNTIF($N$12:$N$9982,T_Channel[[#This Row],[ProviderName]])
)</f>
        <v/>
      </c>
      <c r="P979" s="26" t="str">
        <f>IF(
   T_Channel[[#This Row],[Check]]&lt;&gt;"OK",
   "",
   IF(
      T_Channel[[#This Row],[Query]]="",
      "Empty",
      "Defined"
   )
)</f>
        <v/>
      </c>
      <c r="Q979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979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979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97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979" s="20" t="str">
        <f>IF(
   T_Channel[[#This Row],[Check]]&lt;&gt;"OK",
   "",
   T_Channel[[#This Row],[ChannelSymbol]] &amp; ".evtx"
)</f>
        <v/>
      </c>
      <c r="V979" s="20" t="str">
        <f>IF(
   T_Channel[[#This Row],[Check]]&lt;&gt;"OK",
   "",
   T_Channel[[#This Row],[LogFolder]] &amp; "\" &amp; T_Channel[[#This Row],[LogFile]]
)</f>
        <v/>
      </c>
      <c r="W979" s="20" t="str">
        <f>IF(
   T_Channel[[#This Row],[Safekeeping of logs]]="",
   "",
   VLOOKUP(T_Channel[[#This Row],[Safekeeping of logs]],T_List_LogMode[],2,FALSE)
)</f>
        <v/>
      </c>
      <c r="X979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980" spans="2:24" x14ac:dyDescent="0.45">
      <c r="B980" s="7"/>
      <c r="C980" s="7"/>
      <c r="D980" s="7"/>
      <c r="E980" s="7"/>
      <c r="F980" s="6"/>
      <c r="G980" s="6"/>
      <c r="H980" s="6"/>
      <c r="I980" s="6"/>
      <c r="J980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980" s="21"/>
      <c r="L980" s="7"/>
      <c r="M980" s="41"/>
      <c r="N980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980" s="26" t="str">
        <f>IF(
   T_Channel[[#This Row],[ProviderName]]="",
   "",
   COUNTIF($N$12:$N$9982,T_Channel[[#This Row],[ProviderName]])
)</f>
        <v/>
      </c>
      <c r="P980" s="26" t="str">
        <f>IF(
   T_Channel[[#This Row],[Check]]&lt;&gt;"OK",
   "",
   IF(
      T_Channel[[#This Row],[Query]]="",
      "Empty",
      "Defined"
   )
)</f>
        <v/>
      </c>
      <c r="Q980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980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980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98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980" s="20" t="str">
        <f>IF(
   T_Channel[[#This Row],[Check]]&lt;&gt;"OK",
   "",
   T_Channel[[#This Row],[ChannelSymbol]] &amp; ".evtx"
)</f>
        <v/>
      </c>
      <c r="V980" s="20" t="str">
        <f>IF(
   T_Channel[[#This Row],[Check]]&lt;&gt;"OK",
   "",
   T_Channel[[#This Row],[LogFolder]] &amp; "\" &amp; T_Channel[[#This Row],[LogFile]]
)</f>
        <v/>
      </c>
      <c r="W980" s="20" t="str">
        <f>IF(
   T_Channel[[#This Row],[Safekeeping of logs]]="",
   "",
   VLOOKUP(T_Channel[[#This Row],[Safekeeping of logs]],T_List_LogMode[],2,FALSE)
)</f>
        <v/>
      </c>
      <c r="X980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981" spans="2:24" x14ac:dyDescent="0.45">
      <c r="B981" s="7"/>
      <c r="C981" s="7"/>
      <c r="D981" s="7"/>
      <c r="E981" s="7"/>
      <c r="F981" s="6"/>
      <c r="G981" s="6"/>
      <c r="H981" s="6"/>
      <c r="I981" s="6"/>
      <c r="J981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981" s="21"/>
      <c r="L981" s="7"/>
      <c r="M981" s="41"/>
      <c r="N981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981" s="26" t="str">
        <f>IF(
   T_Channel[[#This Row],[ProviderName]]="",
   "",
   COUNTIF($N$12:$N$9982,T_Channel[[#This Row],[ProviderName]])
)</f>
        <v/>
      </c>
      <c r="P981" s="26" t="str">
        <f>IF(
   T_Channel[[#This Row],[Check]]&lt;&gt;"OK",
   "",
   IF(
      T_Channel[[#This Row],[Query]]="",
      "Empty",
      "Defined"
   )
)</f>
        <v/>
      </c>
      <c r="Q981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981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981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98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981" s="20" t="str">
        <f>IF(
   T_Channel[[#This Row],[Check]]&lt;&gt;"OK",
   "",
   T_Channel[[#This Row],[ChannelSymbol]] &amp; ".evtx"
)</f>
        <v/>
      </c>
      <c r="V981" s="20" t="str">
        <f>IF(
   T_Channel[[#This Row],[Check]]&lt;&gt;"OK",
   "",
   T_Channel[[#This Row],[LogFolder]] &amp; "\" &amp; T_Channel[[#This Row],[LogFile]]
)</f>
        <v/>
      </c>
      <c r="W981" s="20" t="str">
        <f>IF(
   T_Channel[[#This Row],[Safekeeping of logs]]="",
   "",
   VLOOKUP(T_Channel[[#This Row],[Safekeeping of logs]],T_List_LogMode[],2,FALSE)
)</f>
        <v/>
      </c>
      <c r="X981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982" spans="2:24" x14ac:dyDescent="0.45">
      <c r="B982" s="7"/>
      <c r="C982" s="7"/>
      <c r="D982" s="7"/>
      <c r="E982" s="7"/>
      <c r="F982" s="6"/>
      <c r="G982" s="6"/>
      <c r="H982" s="6"/>
      <c r="I982" s="6"/>
      <c r="J982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982" s="21"/>
      <c r="L982" s="7"/>
      <c r="M982" s="41"/>
      <c r="N982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982" s="26" t="str">
        <f>IF(
   T_Channel[[#This Row],[ProviderName]]="",
   "",
   COUNTIF($N$12:$N$9982,T_Channel[[#This Row],[ProviderName]])
)</f>
        <v/>
      </c>
      <c r="P982" s="26" t="str">
        <f>IF(
   T_Channel[[#This Row],[Check]]&lt;&gt;"OK",
   "",
   IF(
      T_Channel[[#This Row],[Query]]="",
      "Empty",
      "Defined"
   )
)</f>
        <v/>
      </c>
      <c r="Q982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982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982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98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982" s="20" t="str">
        <f>IF(
   T_Channel[[#This Row],[Check]]&lt;&gt;"OK",
   "",
   T_Channel[[#This Row],[ChannelSymbol]] &amp; ".evtx"
)</f>
        <v/>
      </c>
      <c r="V982" s="20" t="str">
        <f>IF(
   T_Channel[[#This Row],[Check]]&lt;&gt;"OK",
   "",
   T_Channel[[#This Row],[LogFolder]] &amp; "\" &amp; T_Channel[[#This Row],[LogFile]]
)</f>
        <v/>
      </c>
      <c r="W982" s="20" t="str">
        <f>IF(
   T_Channel[[#This Row],[Safekeeping of logs]]="",
   "",
   VLOOKUP(T_Channel[[#This Row],[Safekeeping of logs]],T_List_LogMode[],2,FALSE)
)</f>
        <v/>
      </c>
      <c r="X982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983" spans="2:24" x14ac:dyDescent="0.45">
      <c r="B983" s="7"/>
      <c r="C983" s="7"/>
      <c r="D983" s="7"/>
      <c r="E983" s="7"/>
      <c r="F983" s="6"/>
      <c r="G983" s="6"/>
      <c r="H983" s="6"/>
      <c r="I983" s="6"/>
      <c r="J983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983" s="21"/>
      <c r="L983" s="7"/>
      <c r="M983" s="41"/>
      <c r="N983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983" s="26" t="str">
        <f>IF(
   T_Channel[[#This Row],[ProviderName]]="",
   "",
   COUNTIF($N$12:$N$9982,T_Channel[[#This Row],[ProviderName]])
)</f>
        <v/>
      </c>
      <c r="P983" s="26" t="str">
        <f>IF(
   T_Channel[[#This Row],[Check]]&lt;&gt;"OK",
   "",
   IF(
      T_Channel[[#This Row],[Query]]="",
      "Empty",
      "Defined"
   )
)</f>
        <v/>
      </c>
      <c r="Q983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983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983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98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983" s="20" t="str">
        <f>IF(
   T_Channel[[#This Row],[Check]]&lt;&gt;"OK",
   "",
   T_Channel[[#This Row],[ChannelSymbol]] &amp; ".evtx"
)</f>
        <v/>
      </c>
      <c r="V983" s="20" t="str">
        <f>IF(
   T_Channel[[#This Row],[Check]]&lt;&gt;"OK",
   "",
   T_Channel[[#This Row],[LogFolder]] &amp; "\" &amp; T_Channel[[#This Row],[LogFile]]
)</f>
        <v/>
      </c>
      <c r="W983" s="20" t="str">
        <f>IF(
   T_Channel[[#This Row],[Safekeeping of logs]]="",
   "",
   VLOOKUP(T_Channel[[#This Row],[Safekeeping of logs]],T_List_LogMode[],2,FALSE)
)</f>
        <v/>
      </c>
      <c r="X983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984" spans="2:24" x14ac:dyDescent="0.45">
      <c r="B984" s="7"/>
      <c r="C984" s="7"/>
      <c r="D984" s="7"/>
      <c r="E984" s="7"/>
      <c r="F984" s="6"/>
      <c r="G984" s="6"/>
      <c r="H984" s="6"/>
      <c r="I984" s="6"/>
      <c r="J984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984" s="21"/>
      <c r="L984" s="7"/>
      <c r="M984" s="41"/>
      <c r="N984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984" s="26" t="str">
        <f>IF(
   T_Channel[[#This Row],[ProviderName]]="",
   "",
   COUNTIF($N$12:$N$9982,T_Channel[[#This Row],[ProviderName]])
)</f>
        <v/>
      </c>
      <c r="P984" s="26" t="str">
        <f>IF(
   T_Channel[[#This Row],[Check]]&lt;&gt;"OK",
   "",
   IF(
      T_Channel[[#This Row],[Query]]="",
      "Empty",
      "Defined"
   )
)</f>
        <v/>
      </c>
      <c r="Q984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984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984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98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984" s="20" t="str">
        <f>IF(
   T_Channel[[#This Row],[Check]]&lt;&gt;"OK",
   "",
   T_Channel[[#This Row],[ChannelSymbol]] &amp; ".evtx"
)</f>
        <v/>
      </c>
      <c r="V984" s="20" t="str">
        <f>IF(
   T_Channel[[#This Row],[Check]]&lt;&gt;"OK",
   "",
   T_Channel[[#This Row],[LogFolder]] &amp; "\" &amp; T_Channel[[#This Row],[LogFile]]
)</f>
        <v/>
      </c>
      <c r="W984" s="20" t="str">
        <f>IF(
   T_Channel[[#This Row],[Safekeeping of logs]]="",
   "",
   VLOOKUP(T_Channel[[#This Row],[Safekeeping of logs]],T_List_LogMode[],2,FALSE)
)</f>
        <v/>
      </c>
      <c r="X984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985" spans="2:24" x14ac:dyDescent="0.45">
      <c r="B985" s="7"/>
      <c r="C985" s="7"/>
      <c r="D985" s="7"/>
      <c r="E985" s="7"/>
      <c r="F985" s="6"/>
      <c r="G985" s="6"/>
      <c r="H985" s="6"/>
      <c r="I985" s="6"/>
      <c r="J985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985" s="21"/>
      <c r="L985" s="7"/>
      <c r="M985" s="41"/>
      <c r="N985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985" s="26" t="str">
        <f>IF(
   T_Channel[[#This Row],[ProviderName]]="",
   "",
   COUNTIF($N$12:$N$9982,T_Channel[[#This Row],[ProviderName]])
)</f>
        <v/>
      </c>
      <c r="P985" s="26" t="str">
        <f>IF(
   T_Channel[[#This Row],[Check]]&lt;&gt;"OK",
   "",
   IF(
      T_Channel[[#This Row],[Query]]="",
      "Empty",
      "Defined"
   )
)</f>
        <v/>
      </c>
      <c r="Q985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985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985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98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985" s="20" t="str">
        <f>IF(
   T_Channel[[#This Row],[Check]]&lt;&gt;"OK",
   "",
   T_Channel[[#This Row],[ChannelSymbol]] &amp; ".evtx"
)</f>
        <v/>
      </c>
      <c r="V985" s="20" t="str">
        <f>IF(
   T_Channel[[#This Row],[Check]]&lt;&gt;"OK",
   "",
   T_Channel[[#This Row],[LogFolder]] &amp; "\" &amp; T_Channel[[#This Row],[LogFile]]
)</f>
        <v/>
      </c>
      <c r="W985" s="20" t="str">
        <f>IF(
   T_Channel[[#This Row],[Safekeeping of logs]]="",
   "",
   VLOOKUP(T_Channel[[#This Row],[Safekeeping of logs]],T_List_LogMode[],2,FALSE)
)</f>
        <v/>
      </c>
      <c r="X985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986" spans="2:24" x14ac:dyDescent="0.45">
      <c r="B986" s="7"/>
      <c r="C986" s="7"/>
      <c r="D986" s="7"/>
      <c r="E986" s="7"/>
      <c r="F986" s="6"/>
      <c r="G986" s="6"/>
      <c r="H986" s="6"/>
      <c r="I986" s="6"/>
      <c r="J986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986" s="21"/>
      <c r="L986" s="7"/>
      <c r="M986" s="41"/>
      <c r="N986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986" s="26" t="str">
        <f>IF(
   T_Channel[[#This Row],[ProviderName]]="",
   "",
   COUNTIF($N$12:$N$9982,T_Channel[[#This Row],[ProviderName]])
)</f>
        <v/>
      </c>
      <c r="P986" s="26" t="str">
        <f>IF(
   T_Channel[[#This Row],[Check]]&lt;&gt;"OK",
   "",
   IF(
      T_Channel[[#This Row],[Query]]="",
      "Empty",
      "Defined"
   )
)</f>
        <v/>
      </c>
      <c r="Q986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986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986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98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986" s="20" t="str">
        <f>IF(
   T_Channel[[#This Row],[Check]]&lt;&gt;"OK",
   "",
   T_Channel[[#This Row],[ChannelSymbol]] &amp; ".evtx"
)</f>
        <v/>
      </c>
      <c r="V986" s="20" t="str">
        <f>IF(
   T_Channel[[#This Row],[Check]]&lt;&gt;"OK",
   "",
   T_Channel[[#This Row],[LogFolder]] &amp; "\" &amp; T_Channel[[#This Row],[LogFile]]
)</f>
        <v/>
      </c>
      <c r="W986" s="20" t="str">
        <f>IF(
   T_Channel[[#This Row],[Safekeeping of logs]]="",
   "",
   VLOOKUP(T_Channel[[#This Row],[Safekeeping of logs]],T_List_LogMode[],2,FALSE)
)</f>
        <v/>
      </c>
      <c r="X986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987" spans="2:24" x14ac:dyDescent="0.45">
      <c r="B987" s="7"/>
      <c r="C987" s="7"/>
      <c r="D987" s="7"/>
      <c r="E987" s="7"/>
      <c r="F987" s="6"/>
      <c r="G987" s="6"/>
      <c r="H987" s="6"/>
      <c r="I987" s="6"/>
      <c r="J987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987" s="21"/>
      <c r="L987" s="7"/>
      <c r="M987" s="41"/>
      <c r="N987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987" s="26" t="str">
        <f>IF(
   T_Channel[[#This Row],[ProviderName]]="",
   "",
   COUNTIF($N$12:$N$9982,T_Channel[[#This Row],[ProviderName]])
)</f>
        <v/>
      </c>
      <c r="P987" s="26" t="str">
        <f>IF(
   T_Channel[[#This Row],[Check]]&lt;&gt;"OK",
   "",
   IF(
      T_Channel[[#This Row],[Query]]="",
      "Empty",
      "Defined"
   )
)</f>
        <v/>
      </c>
      <c r="Q987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987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987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98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987" s="20" t="str">
        <f>IF(
   T_Channel[[#This Row],[Check]]&lt;&gt;"OK",
   "",
   T_Channel[[#This Row],[ChannelSymbol]] &amp; ".evtx"
)</f>
        <v/>
      </c>
      <c r="V987" s="20" t="str">
        <f>IF(
   T_Channel[[#This Row],[Check]]&lt;&gt;"OK",
   "",
   T_Channel[[#This Row],[LogFolder]] &amp; "\" &amp; T_Channel[[#This Row],[LogFile]]
)</f>
        <v/>
      </c>
      <c r="W987" s="20" t="str">
        <f>IF(
   T_Channel[[#This Row],[Safekeeping of logs]]="",
   "",
   VLOOKUP(T_Channel[[#This Row],[Safekeeping of logs]],T_List_LogMode[],2,FALSE)
)</f>
        <v/>
      </c>
      <c r="X987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988" spans="2:24" x14ac:dyDescent="0.45">
      <c r="B988" s="7"/>
      <c r="C988" s="7"/>
      <c r="D988" s="7"/>
      <c r="E988" s="7"/>
      <c r="F988" s="6"/>
      <c r="G988" s="6"/>
      <c r="H988" s="6"/>
      <c r="I988" s="6"/>
      <c r="J988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988" s="21"/>
      <c r="L988" s="7"/>
      <c r="M988" s="41"/>
      <c r="N988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988" s="26" t="str">
        <f>IF(
   T_Channel[[#This Row],[ProviderName]]="",
   "",
   COUNTIF($N$12:$N$9982,T_Channel[[#This Row],[ProviderName]])
)</f>
        <v/>
      </c>
      <c r="P988" s="26" t="str">
        <f>IF(
   T_Channel[[#This Row],[Check]]&lt;&gt;"OK",
   "",
   IF(
      T_Channel[[#This Row],[Query]]="",
      "Empty",
      "Defined"
   )
)</f>
        <v/>
      </c>
      <c r="Q988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988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988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98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988" s="20" t="str">
        <f>IF(
   T_Channel[[#This Row],[Check]]&lt;&gt;"OK",
   "",
   T_Channel[[#This Row],[ChannelSymbol]] &amp; ".evtx"
)</f>
        <v/>
      </c>
      <c r="V988" s="20" t="str">
        <f>IF(
   T_Channel[[#This Row],[Check]]&lt;&gt;"OK",
   "",
   T_Channel[[#This Row],[LogFolder]] &amp; "\" &amp; T_Channel[[#This Row],[LogFile]]
)</f>
        <v/>
      </c>
      <c r="W988" s="20" t="str">
        <f>IF(
   T_Channel[[#This Row],[Safekeeping of logs]]="",
   "",
   VLOOKUP(T_Channel[[#This Row],[Safekeeping of logs]],T_List_LogMode[],2,FALSE)
)</f>
        <v/>
      </c>
      <c r="X988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989" spans="2:24" x14ac:dyDescent="0.45">
      <c r="B989" s="7"/>
      <c r="C989" s="7"/>
      <c r="D989" s="7"/>
      <c r="E989" s="7"/>
      <c r="F989" s="6"/>
      <c r="G989" s="6"/>
      <c r="H989" s="6"/>
      <c r="I989" s="6"/>
      <c r="J989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989" s="21"/>
      <c r="L989" s="7"/>
      <c r="M989" s="41"/>
      <c r="N989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989" s="26" t="str">
        <f>IF(
   T_Channel[[#This Row],[ProviderName]]="",
   "",
   COUNTIF($N$12:$N$9982,T_Channel[[#This Row],[ProviderName]])
)</f>
        <v/>
      </c>
      <c r="P989" s="26" t="str">
        <f>IF(
   T_Channel[[#This Row],[Check]]&lt;&gt;"OK",
   "",
   IF(
      T_Channel[[#This Row],[Query]]="",
      "Empty",
      "Defined"
   )
)</f>
        <v/>
      </c>
      <c r="Q989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989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989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98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989" s="20" t="str">
        <f>IF(
   T_Channel[[#This Row],[Check]]&lt;&gt;"OK",
   "",
   T_Channel[[#This Row],[ChannelSymbol]] &amp; ".evtx"
)</f>
        <v/>
      </c>
      <c r="V989" s="20" t="str">
        <f>IF(
   T_Channel[[#This Row],[Check]]&lt;&gt;"OK",
   "",
   T_Channel[[#This Row],[LogFolder]] &amp; "\" &amp; T_Channel[[#This Row],[LogFile]]
)</f>
        <v/>
      </c>
      <c r="W989" s="20" t="str">
        <f>IF(
   T_Channel[[#This Row],[Safekeeping of logs]]="",
   "",
   VLOOKUP(T_Channel[[#This Row],[Safekeeping of logs]],T_List_LogMode[],2,FALSE)
)</f>
        <v/>
      </c>
      <c r="X989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990" spans="2:24" x14ac:dyDescent="0.45">
      <c r="B990" s="7"/>
      <c r="C990" s="7"/>
      <c r="D990" s="7"/>
      <c r="E990" s="7"/>
      <c r="F990" s="6"/>
      <c r="G990" s="6"/>
      <c r="H990" s="6"/>
      <c r="I990" s="6"/>
      <c r="J990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990" s="21"/>
      <c r="L990" s="7"/>
      <c r="M990" s="41"/>
      <c r="N990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990" s="26" t="str">
        <f>IF(
   T_Channel[[#This Row],[ProviderName]]="",
   "",
   COUNTIF($N$12:$N$9982,T_Channel[[#This Row],[ProviderName]])
)</f>
        <v/>
      </c>
      <c r="P990" s="26" t="str">
        <f>IF(
   T_Channel[[#This Row],[Check]]&lt;&gt;"OK",
   "",
   IF(
      T_Channel[[#This Row],[Query]]="",
      "Empty",
      "Defined"
   )
)</f>
        <v/>
      </c>
      <c r="Q990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990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990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99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990" s="20" t="str">
        <f>IF(
   T_Channel[[#This Row],[Check]]&lt;&gt;"OK",
   "",
   T_Channel[[#This Row],[ChannelSymbol]] &amp; ".evtx"
)</f>
        <v/>
      </c>
      <c r="V990" s="20" t="str">
        <f>IF(
   T_Channel[[#This Row],[Check]]&lt;&gt;"OK",
   "",
   T_Channel[[#This Row],[LogFolder]] &amp; "\" &amp; T_Channel[[#This Row],[LogFile]]
)</f>
        <v/>
      </c>
      <c r="W990" s="20" t="str">
        <f>IF(
   T_Channel[[#This Row],[Safekeeping of logs]]="",
   "",
   VLOOKUP(T_Channel[[#This Row],[Safekeeping of logs]],T_List_LogMode[],2,FALSE)
)</f>
        <v/>
      </c>
      <c r="X990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991" spans="2:24" x14ac:dyDescent="0.45">
      <c r="B991" s="7"/>
      <c r="C991" s="7"/>
      <c r="D991" s="7"/>
      <c r="E991" s="7"/>
      <c r="F991" s="6"/>
      <c r="G991" s="6"/>
      <c r="H991" s="6"/>
      <c r="I991" s="6"/>
      <c r="J991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991" s="21"/>
      <c r="L991" s="7"/>
      <c r="M991" s="41"/>
      <c r="N991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991" s="26" t="str">
        <f>IF(
   T_Channel[[#This Row],[ProviderName]]="",
   "",
   COUNTIF($N$12:$N$9982,T_Channel[[#This Row],[ProviderName]])
)</f>
        <v/>
      </c>
      <c r="P991" s="26" t="str">
        <f>IF(
   T_Channel[[#This Row],[Check]]&lt;&gt;"OK",
   "",
   IF(
      T_Channel[[#This Row],[Query]]="",
      "Empty",
      "Defined"
   )
)</f>
        <v/>
      </c>
      <c r="Q991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991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991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99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991" s="20" t="str">
        <f>IF(
   T_Channel[[#This Row],[Check]]&lt;&gt;"OK",
   "",
   T_Channel[[#This Row],[ChannelSymbol]] &amp; ".evtx"
)</f>
        <v/>
      </c>
      <c r="V991" s="20" t="str">
        <f>IF(
   T_Channel[[#This Row],[Check]]&lt;&gt;"OK",
   "",
   T_Channel[[#This Row],[LogFolder]] &amp; "\" &amp; T_Channel[[#This Row],[LogFile]]
)</f>
        <v/>
      </c>
      <c r="W991" s="20" t="str">
        <f>IF(
   T_Channel[[#This Row],[Safekeeping of logs]]="",
   "",
   VLOOKUP(T_Channel[[#This Row],[Safekeeping of logs]],T_List_LogMode[],2,FALSE)
)</f>
        <v/>
      </c>
      <c r="X991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992" spans="2:24" x14ac:dyDescent="0.45">
      <c r="B992" s="7"/>
      <c r="C992" s="7"/>
      <c r="D992" s="7"/>
      <c r="E992" s="7"/>
      <c r="F992" s="6"/>
      <c r="G992" s="6"/>
      <c r="H992" s="6"/>
      <c r="I992" s="6"/>
      <c r="J992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992" s="21"/>
      <c r="L992" s="7"/>
      <c r="M992" s="41"/>
      <c r="N992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992" s="26" t="str">
        <f>IF(
   T_Channel[[#This Row],[ProviderName]]="",
   "",
   COUNTIF($N$12:$N$9982,T_Channel[[#This Row],[ProviderName]])
)</f>
        <v/>
      </c>
      <c r="P992" s="26" t="str">
        <f>IF(
   T_Channel[[#This Row],[Check]]&lt;&gt;"OK",
   "",
   IF(
      T_Channel[[#This Row],[Query]]="",
      "Empty",
      "Defined"
   )
)</f>
        <v/>
      </c>
      <c r="Q992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992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992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99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992" s="20" t="str">
        <f>IF(
   T_Channel[[#This Row],[Check]]&lt;&gt;"OK",
   "",
   T_Channel[[#This Row],[ChannelSymbol]] &amp; ".evtx"
)</f>
        <v/>
      </c>
      <c r="V992" s="20" t="str">
        <f>IF(
   T_Channel[[#This Row],[Check]]&lt;&gt;"OK",
   "",
   T_Channel[[#This Row],[LogFolder]] &amp; "\" &amp; T_Channel[[#This Row],[LogFile]]
)</f>
        <v/>
      </c>
      <c r="W992" s="20" t="str">
        <f>IF(
   T_Channel[[#This Row],[Safekeeping of logs]]="",
   "",
   VLOOKUP(T_Channel[[#This Row],[Safekeeping of logs]],T_List_LogMode[],2,FALSE)
)</f>
        <v/>
      </c>
      <c r="X992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993" spans="2:24" x14ac:dyDescent="0.45">
      <c r="B993" s="7"/>
      <c r="C993" s="7"/>
      <c r="D993" s="7"/>
      <c r="E993" s="7"/>
      <c r="F993" s="6"/>
      <c r="G993" s="6"/>
      <c r="H993" s="6"/>
      <c r="I993" s="6"/>
      <c r="J993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993" s="21"/>
      <c r="L993" s="7"/>
      <c r="M993" s="41"/>
      <c r="N993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993" s="26" t="str">
        <f>IF(
   T_Channel[[#This Row],[ProviderName]]="",
   "",
   COUNTIF($N$12:$N$9982,T_Channel[[#This Row],[ProviderName]])
)</f>
        <v/>
      </c>
      <c r="P993" s="26" t="str">
        <f>IF(
   T_Channel[[#This Row],[Check]]&lt;&gt;"OK",
   "",
   IF(
      T_Channel[[#This Row],[Query]]="",
      "Empty",
      "Defined"
   )
)</f>
        <v/>
      </c>
      <c r="Q993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993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993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99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993" s="20" t="str">
        <f>IF(
   T_Channel[[#This Row],[Check]]&lt;&gt;"OK",
   "",
   T_Channel[[#This Row],[ChannelSymbol]] &amp; ".evtx"
)</f>
        <v/>
      </c>
      <c r="V993" s="20" t="str">
        <f>IF(
   T_Channel[[#This Row],[Check]]&lt;&gt;"OK",
   "",
   T_Channel[[#This Row],[LogFolder]] &amp; "\" &amp; T_Channel[[#This Row],[LogFile]]
)</f>
        <v/>
      </c>
      <c r="W993" s="20" t="str">
        <f>IF(
   T_Channel[[#This Row],[Safekeeping of logs]]="",
   "",
   VLOOKUP(T_Channel[[#This Row],[Safekeeping of logs]],T_List_LogMode[],2,FALSE)
)</f>
        <v/>
      </c>
      <c r="X993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994" spans="2:24" x14ac:dyDescent="0.45">
      <c r="B994" s="7"/>
      <c r="C994" s="7"/>
      <c r="D994" s="7"/>
      <c r="E994" s="7"/>
      <c r="F994" s="6"/>
      <c r="G994" s="6"/>
      <c r="H994" s="6"/>
      <c r="I994" s="6"/>
      <c r="J994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994" s="21"/>
      <c r="L994" s="7"/>
      <c r="M994" s="41"/>
      <c r="N994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994" s="26" t="str">
        <f>IF(
   T_Channel[[#This Row],[ProviderName]]="",
   "",
   COUNTIF($N$12:$N$9982,T_Channel[[#This Row],[ProviderName]])
)</f>
        <v/>
      </c>
      <c r="P994" s="26" t="str">
        <f>IF(
   T_Channel[[#This Row],[Check]]&lt;&gt;"OK",
   "",
   IF(
      T_Channel[[#This Row],[Query]]="",
      "Empty",
      "Defined"
   )
)</f>
        <v/>
      </c>
      <c r="Q994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994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994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99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994" s="20" t="str">
        <f>IF(
   T_Channel[[#This Row],[Check]]&lt;&gt;"OK",
   "",
   T_Channel[[#This Row],[ChannelSymbol]] &amp; ".evtx"
)</f>
        <v/>
      </c>
      <c r="V994" s="20" t="str">
        <f>IF(
   T_Channel[[#This Row],[Check]]&lt;&gt;"OK",
   "",
   T_Channel[[#This Row],[LogFolder]] &amp; "\" &amp; T_Channel[[#This Row],[LogFile]]
)</f>
        <v/>
      </c>
      <c r="W994" s="20" t="str">
        <f>IF(
   T_Channel[[#This Row],[Safekeeping of logs]]="",
   "",
   VLOOKUP(T_Channel[[#This Row],[Safekeeping of logs]],T_List_LogMode[],2,FALSE)
)</f>
        <v/>
      </c>
      <c r="X994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995" spans="2:24" x14ac:dyDescent="0.45">
      <c r="B995" s="7"/>
      <c r="C995" s="7"/>
      <c r="D995" s="7"/>
      <c r="E995" s="7"/>
      <c r="F995" s="6"/>
      <c r="G995" s="6"/>
      <c r="H995" s="6"/>
      <c r="I995" s="6"/>
      <c r="J995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995" s="21"/>
      <c r="L995" s="7"/>
      <c r="M995" s="41"/>
      <c r="N995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995" s="26" t="str">
        <f>IF(
   T_Channel[[#This Row],[ProviderName]]="",
   "",
   COUNTIF($N$12:$N$9982,T_Channel[[#This Row],[ProviderName]])
)</f>
        <v/>
      </c>
      <c r="P995" s="26" t="str">
        <f>IF(
   T_Channel[[#This Row],[Check]]&lt;&gt;"OK",
   "",
   IF(
      T_Channel[[#This Row],[Query]]="",
      "Empty",
      "Defined"
   )
)</f>
        <v/>
      </c>
      <c r="Q995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995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995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99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995" s="20" t="str">
        <f>IF(
   T_Channel[[#This Row],[Check]]&lt;&gt;"OK",
   "",
   T_Channel[[#This Row],[ChannelSymbol]] &amp; ".evtx"
)</f>
        <v/>
      </c>
      <c r="V995" s="20" t="str">
        <f>IF(
   T_Channel[[#This Row],[Check]]&lt;&gt;"OK",
   "",
   T_Channel[[#This Row],[LogFolder]] &amp; "\" &amp; T_Channel[[#This Row],[LogFile]]
)</f>
        <v/>
      </c>
      <c r="W995" s="20" t="str">
        <f>IF(
   T_Channel[[#This Row],[Safekeeping of logs]]="",
   "",
   VLOOKUP(T_Channel[[#This Row],[Safekeeping of logs]],T_List_LogMode[],2,FALSE)
)</f>
        <v/>
      </c>
      <c r="X995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996" spans="2:24" x14ac:dyDescent="0.45">
      <c r="B996" s="7"/>
      <c r="C996" s="7"/>
      <c r="D996" s="7"/>
      <c r="E996" s="7"/>
      <c r="F996" s="6"/>
      <c r="G996" s="6"/>
      <c r="H996" s="6"/>
      <c r="I996" s="6"/>
      <c r="J996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996" s="21"/>
      <c r="L996" s="7"/>
      <c r="M996" s="41"/>
      <c r="N996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996" s="26" t="str">
        <f>IF(
   T_Channel[[#This Row],[ProviderName]]="",
   "",
   COUNTIF($N$12:$N$9982,T_Channel[[#This Row],[ProviderName]])
)</f>
        <v/>
      </c>
      <c r="P996" s="26" t="str">
        <f>IF(
   T_Channel[[#This Row],[Check]]&lt;&gt;"OK",
   "",
   IF(
      T_Channel[[#This Row],[Query]]="",
      "Empty",
      "Defined"
   )
)</f>
        <v/>
      </c>
      <c r="Q996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996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996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99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996" s="20" t="str">
        <f>IF(
   T_Channel[[#This Row],[Check]]&lt;&gt;"OK",
   "",
   T_Channel[[#This Row],[ChannelSymbol]] &amp; ".evtx"
)</f>
        <v/>
      </c>
      <c r="V996" s="20" t="str">
        <f>IF(
   T_Channel[[#This Row],[Check]]&lt;&gt;"OK",
   "",
   T_Channel[[#This Row],[LogFolder]] &amp; "\" &amp; T_Channel[[#This Row],[LogFile]]
)</f>
        <v/>
      </c>
      <c r="W996" s="20" t="str">
        <f>IF(
   T_Channel[[#This Row],[Safekeeping of logs]]="",
   "",
   VLOOKUP(T_Channel[[#This Row],[Safekeeping of logs]],T_List_LogMode[],2,FALSE)
)</f>
        <v/>
      </c>
      <c r="X996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997" spans="2:24" x14ac:dyDescent="0.45">
      <c r="B997" s="7"/>
      <c r="C997" s="7"/>
      <c r="D997" s="7"/>
      <c r="E997" s="7"/>
      <c r="F997" s="6"/>
      <c r="G997" s="6"/>
      <c r="H997" s="6"/>
      <c r="I997" s="6"/>
      <c r="J997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997" s="21"/>
      <c r="L997" s="7"/>
      <c r="M997" s="41"/>
      <c r="N997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997" s="26" t="str">
        <f>IF(
   T_Channel[[#This Row],[ProviderName]]="",
   "",
   COUNTIF($N$12:$N$9982,T_Channel[[#This Row],[ProviderName]])
)</f>
        <v/>
      </c>
      <c r="P997" s="26" t="str">
        <f>IF(
   T_Channel[[#This Row],[Check]]&lt;&gt;"OK",
   "",
   IF(
      T_Channel[[#This Row],[Query]]="",
      "Empty",
      "Defined"
   )
)</f>
        <v/>
      </c>
      <c r="Q997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997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997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99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997" s="20" t="str">
        <f>IF(
   T_Channel[[#This Row],[Check]]&lt;&gt;"OK",
   "",
   T_Channel[[#This Row],[ChannelSymbol]] &amp; ".evtx"
)</f>
        <v/>
      </c>
      <c r="V997" s="20" t="str">
        <f>IF(
   T_Channel[[#This Row],[Check]]&lt;&gt;"OK",
   "",
   T_Channel[[#This Row],[LogFolder]] &amp; "\" &amp; T_Channel[[#This Row],[LogFile]]
)</f>
        <v/>
      </c>
      <c r="W997" s="20" t="str">
        <f>IF(
   T_Channel[[#This Row],[Safekeeping of logs]]="",
   "",
   VLOOKUP(T_Channel[[#This Row],[Safekeeping of logs]],T_List_LogMode[],2,FALSE)
)</f>
        <v/>
      </c>
      <c r="X997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998" spans="2:24" x14ac:dyDescent="0.45">
      <c r="B998" s="7"/>
      <c r="C998" s="7"/>
      <c r="D998" s="7"/>
      <c r="E998" s="7"/>
      <c r="F998" s="6"/>
      <c r="G998" s="6"/>
      <c r="H998" s="6"/>
      <c r="I998" s="6"/>
      <c r="J998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998" s="21"/>
      <c r="L998" s="7"/>
      <c r="M998" s="41"/>
      <c r="N998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998" s="26" t="str">
        <f>IF(
   T_Channel[[#This Row],[ProviderName]]="",
   "",
   COUNTIF($N$12:$N$9982,T_Channel[[#This Row],[ProviderName]])
)</f>
        <v/>
      </c>
      <c r="P998" s="26" t="str">
        <f>IF(
   T_Channel[[#This Row],[Check]]&lt;&gt;"OK",
   "",
   IF(
      T_Channel[[#This Row],[Query]]="",
      "Empty",
      "Defined"
   )
)</f>
        <v/>
      </c>
      <c r="Q998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998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998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99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998" s="20" t="str">
        <f>IF(
   T_Channel[[#This Row],[Check]]&lt;&gt;"OK",
   "",
   T_Channel[[#This Row],[ChannelSymbol]] &amp; ".evtx"
)</f>
        <v/>
      </c>
      <c r="V998" s="20" t="str">
        <f>IF(
   T_Channel[[#This Row],[Check]]&lt;&gt;"OK",
   "",
   T_Channel[[#This Row],[LogFolder]] &amp; "\" &amp; T_Channel[[#This Row],[LogFile]]
)</f>
        <v/>
      </c>
      <c r="W998" s="20" t="str">
        <f>IF(
   T_Channel[[#This Row],[Safekeeping of logs]]="",
   "",
   VLOOKUP(T_Channel[[#This Row],[Safekeeping of logs]],T_List_LogMode[],2,FALSE)
)</f>
        <v/>
      </c>
      <c r="X998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999" spans="2:24" x14ac:dyDescent="0.45">
      <c r="B999" s="7"/>
      <c r="C999" s="7"/>
      <c r="D999" s="7"/>
      <c r="E999" s="7"/>
      <c r="F999" s="6"/>
      <c r="G999" s="6"/>
      <c r="H999" s="6"/>
      <c r="I999" s="6"/>
      <c r="J999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999" s="21"/>
      <c r="L999" s="7"/>
      <c r="M999" s="41"/>
      <c r="N999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999" s="26" t="str">
        <f>IF(
   T_Channel[[#This Row],[ProviderName]]="",
   "",
   COUNTIF($N$12:$N$9982,T_Channel[[#This Row],[ProviderName]])
)</f>
        <v/>
      </c>
      <c r="P999" s="26" t="str">
        <f>IF(
   T_Channel[[#This Row],[Check]]&lt;&gt;"OK",
   "",
   IF(
      T_Channel[[#This Row],[Query]]="",
      "Empty",
      "Defined"
   )
)</f>
        <v/>
      </c>
      <c r="Q999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999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999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99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999" s="20" t="str">
        <f>IF(
   T_Channel[[#This Row],[Check]]&lt;&gt;"OK",
   "",
   T_Channel[[#This Row],[ChannelSymbol]] &amp; ".evtx"
)</f>
        <v/>
      </c>
      <c r="V999" s="20" t="str">
        <f>IF(
   T_Channel[[#This Row],[Check]]&lt;&gt;"OK",
   "",
   T_Channel[[#This Row],[LogFolder]] &amp; "\" &amp; T_Channel[[#This Row],[LogFile]]
)</f>
        <v/>
      </c>
      <c r="W999" s="20" t="str">
        <f>IF(
   T_Channel[[#This Row],[Safekeeping of logs]]="",
   "",
   VLOOKUP(T_Channel[[#This Row],[Safekeeping of logs]],T_List_LogMode[],2,FALSE)
)</f>
        <v/>
      </c>
      <c r="X999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000" spans="2:24" x14ac:dyDescent="0.45">
      <c r="B1000" s="7"/>
      <c r="C1000" s="7"/>
      <c r="D1000" s="7"/>
      <c r="E1000" s="7"/>
      <c r="F1000" s="6"/>
      <c r="G1000" s="6"/>
      <c r="H1000" s="6"/>
      <c r="I1000" s="6"/>
      <c r="J1000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000" s="21"/>
      <c r="L1000" s="7"/>
      <c r="M1000" s="41"/>
      <c r="N1000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000" s="26" t="str">
        <f>IF(
   T_Channel[[#This Row],[ProviderName]]="",
   "",
   COUNTIF($N$12:$N$9982,T_Channel[[#This Row],[ProviderName]])
)</f>
        <v/>
      </c>
      <c r="P1000" s="26" t="str">
        <f>IF(
   T_Channel[[#This Row],[Check]]&lt;&gt;"OK",
   "",
   IF(
      T_Channel[[#This Row],[Query]]="",
      "Empty",
      "Defined"
   )
)</f>
        <v/>
      </c>
      <c r="Q1000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000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000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00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000" s="20" t="str">
        <f>IF(
   T_Channel[[#This Row],[Check]]&lt;&gt;"OK",
   "",
   T_Channel[[#This Row],[ChannelSymbol]] &amp; ".evtx"
)</f>
        <v/>
      </c>
      <c r="V1000" s="20" t="str">
        <f>IF(
   T_Channel[[#This Row],[Check]]&lt;&gt;"OK",
   "",
   T_Channel[[#This Row],[LogFolder]] &amp; "\" &amp; T_Channel[[#This Row],[LogFile]]
)</f>
        <v/>
      </c>
      <c r="W1000" s="20" t="str">
        <f>IF(
   T_Channel[[#This Row],[Safekeeping of logs]]="",
   "",
   VLOOKUP(T_Channel[[#This Row],[Safekeeping of logs]],T_List_LogMode[],2,FALSE)
)</f>
        <v/>
      </c>
      <c r="X1000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001" spans="2:24" x14ac:dyDescent="0.45">
      <c r="B1001" s="7"/>
      <c r="C1001" s="7"/>
      <c r="D1001" s="7"/>
      <c r="E1001" s="7"/>
      <c r="F1001" s="6"/>
      <c r="G1001" s="6"/>
      <c r="H1001" s="6"/>
      <c r="I1001" s="6"/>
      <c r="J1001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001" s="21"/>
      <c r="L1001" s="7"/>
      <c r="M1001" s="41"/>
      <c r="N1001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001" s="26" t="str">
        <f>IF(
   T_Channel[[#This Row],[ProviderName]]="",
   "",
   COUNTIF($N$12:$N$9982,T_Channel[[#This Row],[ProviderName]])
)</f>
        <v/>
      </c>
      <c r="P1001" s="26" t="str">
        <f>IF(
   T_Channel[[#This Row],[Check]]&lt;&gt;"OK",
   "",
   IF(
      T_Channel[[#This Row],[Query]]="",
      "Empty",
      "Defined"
   )
)</f>
        <v/>
      </c>
      <c r="Q1001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001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001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00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001" s="20" t="str">
        <f>IF(
   T_Channel[[#This Row],[Check]]&lt;&gt;"OK",
   "",
   T_Channel[[#This Row],[ChannelSymbol]] &amp; ".evtx"
)</f>
        <v/>
      </c>
      <c r="V1001" s="20" t="str">
        <f>IF(
   T_Channel[[#This Row],[Check]]&lt;&gt;"OK",
   "",
   T_Channel[[#This Row],[LogFolder]] &amp; "\" &amp; T_Channel[[#This Row],[LogFile]]
)</f>
        <v/>
      </c>
      <c r="W1001" s="20" t="str">
        <f>IF(
   T_Channel[[#This Row],[Safekeeping of logs]]="",
   "",
   VLOOKUP(T_Channel[[#This Row],[Safekeeping of logs]],T_List_LogMode[],2,FALSE)
)</f>
        <v/>
      </c>
      <c r="X1001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002" spans="2:24" x14ac:dyDescent="0.45">
      <c r="B1002" s="7"/>
      <c r="C1002" s="7"/>
      <c r="D1002" s="7"/>
      <c r="E1002" s="7"/>
      <c r="F1002" s="6"/>
      <c r="G1002" s="6"/>
      <c r="H1002" s="6"/>
      <c r="I1002" s="6"/>
      <c r="J1002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002" s="21"/>
      <c r="L1002" s="7"/>
      <c r="M1002" s="41"/>
      <c r="N1002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002" s="26" t="str">
        <f>IF(
   T_Channel[[#This Row],[ProviderName]]="",
   "",
   COUNTIF($N$12:$N$9982,T_Channel[[#This Row],[ProviderName]])
)</f>
        <v/>
      </c>
      <c r="P1002" s="26" t="str">
        <f>IF(
   T_Channel[[#This Row],[Check]]&lt;&gt;"OK",
   "",
   IF(
      T_Channel[[#This Row],[Query]]="",
      "Empty",
      "Defined"
   )
)</f>
        <v/>
      </c>
      <c r="Q1002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002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002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00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002" s="20" t="str">
        <f>IF(
   T_Channel[[#This Row],[Check]]&lt;&gt;"OK",
   "",
   T_Channel[[#This Row],[ChannelSymbol]] &amp; ".evtx"
)</f>
        <v/>
      </c>
      <c r="V1002" s="20" t="str">
        <f>IF(
   T_Channel[[#This Row],[Check]]&lt;&gt;"OK",
   "",
   T_Channel[[#This Row],[LogFolder]] &amp; "\" &amp; T_Channel[[#This Row],[LogFile]]
)</f>
        <v/>
      </c>
      <c r="W1002" s="20" t="str">
        <f>IF(
   T_Channel[[#This Row],[Safekeeping of logs]]="",
   "",
   VLOOKUP(T_Channel[[#This Row],[Safekeeping of logs]],T_List_LogMode[],2,FALSE)
)</f>
        <v/>
      </c>
      <c r="X1002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003" spans="2:24" x14ac:dyDescent="0.45">
      <c r="B1003" s="7"/>
      <c r="C1003" s="7"/>
      <c r="D1003" s="7"/>
      <c r="E1003" s="7"/>
      <c r="F1003" s="6"/>
      <c r="G1003" s="6"/>
      <c r="H1003" s="6"/>
      <c r="I1003" s="6"/>
      <c r="J1003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003" s="21"/>
      <c r="L1003" s="7"/>
      <c r="M1003" s="41"/>
      <c r="N1003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003" s="26" t="str">
        <f>IF(
   T_Channel[[#This Row],[ProviderName]]="",
   "",
   COUNTIF($N$12:$N$9982,T_Channel[[#This Row],[ProviderName]])
)</f>
        <v/>
      </c>
      <c r="P1003" s="26" t="str">
        <f>IF(
   T_Channel[[#This Row],[Check]]&lt;&gt;"OK",
   "",
   IF(
      T_Channel[[#This Row],[Query]]="",
      "Empty",
      "Defined"
   )
)</f>
        <v/>
      </c>
      <c r="Q1003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003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003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00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003" s="20" t="str">
        <f>IF(
   T_Channel[[#This Row],[Check]]&lt;&gt;"OK",
   "",
   T_Channel[[#This Row],[ChannelSymbol]] &amp; ".evtx"
)</f>
        <v/>
      </c>
      <c r="V1003" s="20" t="str">
        <f>IF(
   T_Channel[[#This Row],[Check]]&lt;&gt;"OK",
   "",
   T_Channel[[#This Row],[LogFolder]] &amp; "\" &amp; T_Channel[[#This Row],[LogFile]]
)</f>
        <v/>
      </c>
      <c r="W1003" s="20" t="str">
        <f>IF(
   T_Channel[[#This Row],[Safekeeping of logs]]="",
   "",
   VLOOKUP(T_Channel[[#This Row],[Safekeeping of logs]],T_List_LogMode[],2,FALSE)
)</f>
        <v/>
      </c>
      <c r="X1003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004" spans="2:24" x14ac:dyDescent="0.45">
      <c r="B1004" s="7"/>
      <c r="C1004" s="7"/>
      <c r="D1004" s="7"/>
      <c r="E1004" s="7"/>
      <c r="F1004" s="6"/>
      <c r="G1004" s="6"/>
      <c r="H1004" s="6"/>
      <c r="I1004" s="6"/>
      <c r="J1004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004" s="21"/>
      <c r="L1004" s="7"/>
      <c r="M1004" s="41"/>
      <c r="N1004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004" s="26" t="str">
        <f>IF(
   T_Channel[[#This Row],[ProviderName]]="",
   "",
   COUNTIF($N$12:$N$9982,T_Channel[[#This Row],[ProviderName]])
)</f>
        <v/>
      </c>
      <c r="P1004" s="26" t="str">
        <f>IF(
   T_Channel[[#This Row],[Check]]&lt;&gt;"OK",
   "",
   IF(
      T_Channel[[#This Row],[Query]]="",
      "Empty",
      "Defined"
   )
)</f>
        <v/>
      </c>
      <c r="Q1004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004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004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00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004" s="20" t="str">
        <f>IF(
   T_Channel[[#This Row],[Check]]&lt;&gt;"OK",
   "",
   T_Channel[[#This Row],[ChannelSymbol]] &amp; ".evtx"
)</f>
        <v/>
      </c>
      <c r="V1004" s="20" t="str">
        <f>IF(
   T_Channel[[#This Row],[Check]]&lt;&gt;"OK",
   "",
   T_Channel[[#This Row],[LogFolder]] &amp; "\" &amp; T_Channel[[#This Row],[LogFile]]
)</f>
        <v/>
      </c>
      <c r="W1004" s="20" t="str">
        <f>IF(
   T_Channel[[#This Row],[Safekeeping of logs]]="",
   "",
   VLOOKUP(T_Channel[[#This Row],[Safekeeping of logs]],T_List_LogMode[],2,FALSE)
)</f>
        <v/>
      </c>
      <c r="X1004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005" spans="2:24" x14ac:dyDescent="0.45">
      <c r="B1005" s="7"/>
      <c r="C1005" s="7"/>
      <c r="D1005" s="7"/>
      <c r="E1005" s="7"/>
      <c r="F1005" s="6"/>
      <c r="G1005" s="6"/>
      <c r="H1005" s="6"/>
      <c r="I1005" s="6"/>
      <c r="J1005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005" s="21"/>
      <c r="L1005" s="7"/>
      <c r="M1005" s="41"/>
      <c r="N1005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005" s="26" t="str">
        <f>IF(
   T_Channel[[#This Row],[ProviderName]]="",
   "",
   COUNTIF($N$12:$N$9982,T_Channel[[#This Row],[ProviderName]])
)</f>
        <v/>
      </c>
      <c r="P1005" s="26" t="str">
        <f>IF(
   T_Channel[[#This Row],[Check]]&lt;&gt;"OK",
   "",
   IF(
      T_Channel[[#This Row],[Query]]="",
      "Empty",
      "Defined"
   )
)</f>
        <v/>
      </c>
      <c r="Q1005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005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005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00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005" s="20" t="str">
        <f>IF(
   T_Channel[[#This Row],[Check]]&lt;&gt;"OK",
   "",
   T_Channel[[#This Row],[ChannelSymbol]] &amp; ".evtx"
)</f>
        <v/>
      </c>
      <c r="V1005" s="20" t="str">
        <f>IF(
   T_Channel[[#This Row],[Check]]&lt;&gt;"OK",
   "",
   T_Channel[[#This Row],[LogFolder]] &amp; "\" &amp; T_Channel[[#This Row],[LogFile]]
)</f>
        <v/>
      </c>
      <c r="W1005" s="20" t="str">
        <f>IF(
   T_Channel[[#This Row],[Safekeeping of logs]]="",
   "",
   VLOOKUP(T_Channel[[#This Row],[Safekeeping of logs]],T_List_LogMode[],2,FALSE)
)</f>
        <v/>
      </c>
      <c r="X1005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006" spans="2:24" x14ac:dyDescent="0.45">
      <c r="B1006" s="7"/>
      <c r="C1006" s="7"/>
      <c r="D1006" s="7"/>
      <c r="E1006" s="7"/>
      <c r="F1006" s="6"/>
      <c r="G1006" s="6"/>
      <c r="H1006" s="6"/>
      <c r="I1006" s="6"/>
      <c r="J1006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006" s="21"/>
      <c r="L1006" s="7"/>
      <c r="M1006" s="41"/>
      <c r="N1006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006" s="26" t="str">
        <f>IF(
   T_Channel[[#This Row],[ProviderName]]="",
   "",
   COUNTIF($N$12:$N$9982,T_Channel[[#This Row],[ProviderName]])
)</f>
        <v/>
      </c>
      <c r="P1006" s="26" t="str">
        <f>IF(
   T_Channel[[#This Row],[Check]]&lt;&gt;"OK",
   "",
   IF(
      T_Channel[[#This Row],[Query]]="",
      "Empty",
      "Defined"
   )
)</f>
        <v/>
      </c>
      <c r="Q1006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006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006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00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006" s="20" t="str">
        <f>IF(
   T_Channel[[#This Row],[Check]]&lt;&gt;"OK",
   "",
   T_Channel[[#This Row],[ChannelSymbol]] &amp; ".evtx"
)</f>
        <v/>
      </c>
      <c r="V1006" s="20" t="str">
        <f>IF(
   T_Channel[[#This Row],[Check]]&lt;&gt;"OK",
   "",
   T_Channel[[#This Row],[LogFolder]] &amp; "\" &amp; T_Channel[[#This Row],[LogFile]]
)</f>
        <v/>
      </c>
      <c r="W1006" s="20" t="str">
        <f>IF(
   T_Channel[[#This Row],[Safekeeping of logs]]="",
   "",
   VLOOKUP(T_Channel[[#This Row],[Safekeeping of logs]],T_List_LogMode[],2,FALSE)
)</f>
        <v/>
      </c>
      <c r="X1006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007" spans="2:24" x14ac:dyDescent="0.45">
      <c r="B1007" s="7"/>
      <c r="C1007" s="7"/>
      <c r="D1007" s="7"/>
      <c r="E1007" s="7"/>
      <c r="F1007" s="6"/>
      <c r="G1007" s="6"/>
      <c r="H1007" s="6"/>
      <c r="I1007" s="6"/>
      <c r="J1007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007" s="21"/>
      <c r="L1007" s="7"/>
      <c r="M1007" s="41"/>
      <c r="N1007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007" s="26" t="str">
        <f>IF(
   T_Channel[[#This Row],[ProviderName]]="",
   "",
   COUNTIF($N$12:$N$9982,T_Channel[[#This Row],[ProviderName]])
)</f>
        <v/>
      </c>
      <c r="P1007" s="26" t="str">
        <f>IF(
   T_Channel[[#This Row],[Check]]&lt;&gt;"OK",
   "",
   IF(
      T_Channel[[#This Row],[Query]]="",
      "Empty",
      "Defined"
   )
)</f>
        <v/>
      </c>
      <c r="Q1007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007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007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00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007" s="20" t="str">
        <f>IF(
   T_Channel[[#This Row],[Check]]&lt;&gt;"OK",
   "",
   T_Channel[[#This Row],[ChannelSymbol]] &amp; ".evtx"
)</f>
        <v/>
      </c>
      <c r="V1007" s="20" t="str">
        <f>IF(
   T_Channel[[#This Row],[Check]]&lt;&gt;"OK",
   "",
   T_Channel[[#This Row],[LogFolder]] &amp; "\" &amp; T_Channel[[#This Row],[LogFile]]
)</f>
        <v/>
      </c>
      <c r="W1007" s="20" t="str">
        <f>IF(
   T_Channel[[#This Row],[Safekeeping of logs]]="",
   "",
   VLOOKUP(T_Channel[[#This Row],[Safekeeping of logs]],T_List_LogMode[],2,FALSE)
)</f>
        <v/>
      </c>
      <c r="X1007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008" spans="2:24" x14ac:dyDescent="0.45">
      <c r="B1008" s="7"/>
      <c r="C1008" s="7"/>
      <c r="D1008" s="7"/>
      <c r="E1008" s="7"/>
      <c r="F1008" s="6"/>
      <c r="G1008" s="6"/>
      <c r="H1008" s="6"/>
      <c r="I1008" s="6"/>
      <c r="J1008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008" s="21"/>
      <c r="L1008" s="7"/>
      <c r="M1008" s="41"/>
      <c r="N1008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008" s="26" t="str">
        <f>IF(
   T_Channel[[#This Row],[ProviderName]]="",
   "",
   COUNTIF($N$12:$N$9982,T_Channel[[#This Row],[ProviderName]])
)</f>
        <v/>
      </c>
      <c r="P1008" s="26" t="str">
        <f>IF(
   T_Channel[[#This Row],[Check]]&lt;&gt;"OK",
   "",
   IF(
      T_Channel[[#This Row],[Query]]="",
      "Empty",
      "Defined"
   )
)</f>
        <v/>
      </c>
      <c r="Q1008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008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008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00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008" s="20" t="str">
        <f>IF(
   T_Channel[[#This Row],[Check]]&lt;&gt;"OK",
   "",
   T_Channel[[#This Row],[ChannelSymbol]] &amp; ".evtx"
)</f>
        <v/>
      </c>
      <c r="V1008" s="20" t="str">
        <f>IF(
   T_Channel[[#This Row],[Check]]&lt;&gt;"OK",
   "",
   T_Channel[[#This Row],[LogFolder]] &amp; "\" &amp; T_Channel[[#This Row],[LogFile]]
)</f>
        <v/>
      </c>
      <c r="W1008" s="20" t="str">
        <f>IF(
   T_Channel[[#This Row],[Safekeeping of logs]]="",
   "",
   VLOOKUP(T_Channel[[#This Row],[Safekeeping of logs]],T_List_LogMode[],2,FALSE)
)</f>
        <v/>
      </c>
      <c r="X1008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009" spans="2:24" x14ac:dyDescent="0.45">
      <c r="B1009" s="7"/>
      <c r="C1009" s="7"/>
      <c r="D1009" s="7"/>
      <c r="E1009" s="7"/>
      <c r="F1009" s="6"/>
      <c r="G1009" s="6"/>
      <c r="H1009" s="6"/>
      <c r="I1009" s="6"/>
      <c r="J1009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009" s="21"/>
      <c r="L1009" s="7"/>
      <c r="M1009" s="41"/>
      <c r="N1009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009" s="26" t="str">
        <f>IF(
   T_Channel[[#This Row],[ProviderName]]="",
   "",
   COUNTIF($N$12:$N$9982,T_Channel[[#This Row],[ProviderName]])
)</f>
        <v/>
      </c>
      <c r="P1009" s="26" t="str">
        <f>IF(
   T_Channel[[#This Row],[Check]]&lt;&gt;"OK",
   "",
   IF(
      T_Channel[[#This Row],[Query]]="",
      "Empty",
      "Defined"
   )
)</f>
        <v/>
      </c>
      <c r="Q1009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009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009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00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009" s="20" t="str">
        <f>IF(
   T_Channel[[#This Row],[Check]]&lt;&gt;"OK",
   "",
   T_Channel[[#This Row],[ChannelSymbol]] &amp; ".evtx"
)</f>
        <v/>
      </c>
      <c r="V1009" s="20" t="str">
        <f>IF(
   T_Channel[[#This Row],[Check]]&lt;&gt;"OK",
   "",
   T_Channel[[#This Row],[LogFolder]] &amp; "\" &amp; T_Channel[[#This Row],[LogFile]]
)</f>
        <v/>
      </c>
      <c r="W1009" s="20" t="str">
        <f>IF(
   T_Channel[[#This Row],[Safekeeping of logs]]="",
   "",
   VLOOKUP(T_Channel[[#This Row],[Safekeeping of logs]],T_List_LogMode[],2,FALSE)
)</f>
        <v/>
      </c>
      <c r="X1009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010" spans="2:24" x14ac:dyDescent="0.45">
      <c r="B1010" s="7"/>
      <c r="C1010" s="7"/>
      <c r="D1010" s="7"/>
      <c r="E1010" s="7"/>
      <c r="F1010" s="6"/>
      <c r="G1010" s="6"/>
      <c r="H1010" s="6"/>
      <c r="I1010" s="6"/>
      <c r="J1010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010" s="21"/>
      <c r="L1010" s="7"/>
      <c r="M1010" s="41"/>
      <c r="N1010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010" s="26" t="str">
        <f>IF(
   T_Channel[[#This Row],[ProviderName]]="",
   "",
   COUNTIF($N$12:$N$9982,T_Channel[[#This Row],[ProviderName]])
)</f>
        <v/>
      </c>
      <c r="P1010" s="26" t="str">
        <f>IF(
   T_Channel[[#This Row],[Check]]&lt;&gt;"OK",
   "",
   IF(
      T_Channel[[#This Row],[Query]]="",
      "Empty",
      "Defined"
   )
)</f>
        <v/>
      </c>
      <c r="Q1010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010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010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01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010" s="20" t="str">
        <f>IF(
   T_Channel[[#This Row],[Check]]&lt;&gt;"OK",
   "",
   T_Channel[[#This Row],[ChannelSymbol]] &amp; ".evtx"
)</f>
        <v/>
      </c>
      <c r="V1010" s="20" t="str">
        <f>IF(
   T_Channel[[#This Row],[Check]]&lt;&gt;"OK",
   "",
   T_Channel[[#This Row],[LogFolder]] &amp; "\" &amp; T_Channel[[#This Row],[LogFile]]
)</f>
        <v/>
      </c>
      <c r="W1010" s="20" t="str">
        <f>IF(
   T_Channel[[#This Row],[Safekeeping of logs]]="",
   "",
   VLOOKUP(T_Channel[[#This Row],[Safekeeping of logs]],T_List_LogMode[],2,FALSE)
)</f>
        <v/>
      </c>
      <c r="X1010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011" spans="2:24" x14ac:dyDescent="0.45">
      <c r="B1011" s="7"/>
      <c r="C1011" s="7"/>
      <c r="D1011" s="7"/>
      <c r="E1011" s="7"/>
      <c r="F1011" s="6"/>
      <c r="G1011" s="6"/>
      <c r="H1011" s="6"/>
      <c r="I1011" s="6"/>
      <c r="J1011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011" s="21"/>
      <c r="L1011" s="7"/>
      <c r="M1011" s="41"/>
      <c r="N1011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011" s="26" t="str">
        <f>IF(
   T_Channel[[#This Row],[ProviderName]]="",
   "",
   COUNTIF($N$12:$N$9982,T_Channel[[#This Row],[ProviderName]])
)</f>
        <v/>
      </c>
      <c r="P1011" s="26" t="str">
        <f>IF(
   T_Channel[[#This Row],[Check]]&lt;&gt;"OK",
   "",
   IF(
      T_Channel[[#This Row],[Query]]="",
      "Empty",
      "Defined"
   )
)</f>
        <v/>
      </c>
      <c r="Q1011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011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011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01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011" s="20" t="str">
        <f>IF(
   T_Channel[[#This Row],[Check]]&lt;&gt;"OK",
   "",
   T_Channel[[#This Row],[ChannelSymbol]] &amp; ".evtx"
)</f>
        <v/>
      </c>
      <c r="V1011" s="20" t="str">
        <f>IF(
   T_Channel[[#This Row],[Check]]&lt;&gt;"OK",
   "",
   T_Channel[[#This Row],[LogFolder]] &amp; "\" &amp; T_Channel[[#This Row],[LogFile]]
)</f>
        <v/>
      </c>
      <c r="W1011" s="20" t="str">
        <f>IF(
   T_Channel[[#This Row],[Safekeeping of logs]]="",
   "",
   VLOOKUP(T_Channel[[#This Row],[Safekeeping of logs]],T_List_LogMode[],2,FALSE)
)</f>
        <v/>
      </c>
      <c r="X1011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012" spans="2:24" x14ac:dyDescent="0.45">
      <c r="B1012" s="7"/>
      <c r="C1012" s="7"/>
      <c r="D1012" s="7"/>
      <c r="E1012" s="7"/>
      <c r="F1012" s="6"/>
      <c r="G1012" s="6"/>
      <c r="H1012" s="6"/>
      <c r="I1012" s="6"/>
      <c r="J1012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012" s="21"/>
      <c r="L1012" s="7"/>
      <c r="M1012" s="41"/>
      <c r="N1012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012" s="26" t="str">
        <f>IF(
   T_Channel[[#This Row],[ProviderName]]="",
   "",
   COUNTIF($N$12:$N$9982,T_Channel[[#This Row],[ProviderName]])
)</f>
        <v/>
      </c>
      <c r="P1012" s="26" t="str">
        <f>IF(
   T_Channel[[#This Row],[Check]]&lt;&gt;"OK",
   "",
   IF(
      T_Channel[[#This Row],[Query]]="",
      "Empty",
      "Defined"
   )
)</f>
        <v/>
      </c>
      <c r="Q1012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012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012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01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012" s="20" t="str">
        <f>IF(
   T_Channel[[#This Row],[Check]]&lt;&gt;"OK",
   "",
   T_Channel[[#This Row],[ChannelSymbol]] &amp; ".evtx"
)</f>
        <v/>
      </c>
      <c r="V1012" s="20" t="str">
        <f>IF(
   T_Channel[[#This Row],[Check]]&lt;&gt;"OK",
   "",
   T_Channel[[#This Row],[LogFolder]] &amp; "\" &amp; T_Channel[[#This Row],[LogFile]]
)</f>
        <v/>
      </c>
      <c r="W1012" s="20" t="str">
        <f>IF(
   T_Channel[[#This Row],[Safekeeping of logs]]="",
   "",
   VLOOKUP(T_Channel[[#This Row],[Safekeeping of logs]],T_List_LogMode[],2,FALSE)
)</f>
        <v/>
      </c>
      <c r="X1012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013" spans="2:24" x14ac:dyDescent="0.45">
      <c r="B1013" s="7"/>
      <c r="C1013" s="7"/>
      <c r="D1013" s="7"/>
      <c r="E1013" s="7"/>
      <c r="F1013" s="6"/>
      <c r="G1013" s="6"/>
      <c r="H1013" s="6"/>
      <c r="I1013" s="6"/>
      <c r="J1013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013" s="21"/>
      <c r="L1013" s="7"/>
      <c r="M1013" s="41"/>
      <c r="N1013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013" s="26" t="str">
        <f>IF(
   T_Channel[[#This Row],[ProviderName]]="",
   "",
   COUNTIF($N$12:$N$9982,T_Channel[[#This Row],[ProviderName]])
)</f>
        <v/>
      </c>
      <c r="P1013" s="26" t="str">
        <f>IF(
   T_Channel[[#This Row],[Check]]&lt;&gt;"OK",
   "",
   IF(
      T_Channel[[#This Row],[Query]]="",
      "Empty",
      "Defined"
   )
)</f>
        <v/>
      </c>
      <c r="Q1013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013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013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01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013" s="20" t="str">
        <f>IF(
   T_Channel[[#This Row],[Check]]&lt;&gt;"OK",
   "",
   T_Channel[[#This Row],[ChannelSymbol]] &amp; ".evtx"
)</f>
        <v/>
      </c>
      <c r="V1013" s="20" t="str">
        <f>IF(
   T_Channel[[#This Row],[Check]]&lt;&gt;"OK",
   "",
   T_Channel[[#This Row],[LogFolder]] &amp; "\" &amp; T_Channel[[#This Row],[LogFile]]
)</f>
        <v/>
      </c>
      <c r="W1013" s="20" t="str">
        <f>IF(
   T_Channel[[#This Row],[Safekeeping of logs]]="",
   "",
   VLOOKUP(T_Channel[[#This Row],[Safekeeping of logs]],T_List_LogMode[],2,FALSE)
)</f>
        <v/>
      </c>
      <c r="X1013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014" spans="2:24" x14ac:dyDescent="0.45">
      <c r="B1014" s="7"/>
      <c r="C1014" s="7"/>
      <c r="D1014" s="7"/>
      <c r="E1014" s="7"/>
      <c r="F1014" s="6"/>
      <c r="G1014" s="6"/>
      <c r="H1014" s="6"/>
      <c r="I1014" s="6"/>
      <c r="J1014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014" s="21"/>
      <c r="L1014" s="7"/>
      <c r="M1014" s="41"/>
      <c r="N1014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014" s="26" t="str">
        <f>IF(
   T_Channel[[#This Row],[ProviderName]]="",
   "",
   COUNTIF($N$12:$N$9982,T_Channel[[#This Row],[ProviderName]])
)</f>
        <v/>
      </c>
      <c r="P1014" s="26" t="str">
        <f>IF(
   T_Channel[[#This Row],[Check]]&lt;&gt;"OK",
   "",
   IF(
      T_Channel[[#This Row],[Query]]="",
      "Empty",
      "Defined"
   )
)</f>
        <v/>
      </c>
      <c r="Q1014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014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014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01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014" s="20" t="str">
        <f>IF(
   T_Channel[[#This Row],[Check]]&lt;&gt;"OK",
   "",
   T_Channel[[#This Row],[ChannelSymbol]] &amp; ".evtx"
)</f>
        <v/>
      </c>
      <c r="V1014" s="20" t="str">
        <f>IF(
   T_Channel[[#This Row],[Check]]&lt;&gt;"OK",
   "",
   T_Channel[[#This Row],[LogFolder]] &amp; "\" &amp; T_Channel[[#This Row],[LogFile]]
)</f>
        <v/>
      </c>
      <c r="W1014" s="20" t="str">
        <f>IF(
   T_Channel[[#This Row],[Safekeeping of logs]]="",
   "",
   VLOOKUP(T_Channel[[#This Row],[Safekeeping of logs]],T_List_LogMode[],2,FALSE)
)</f>
        <v/>
      </c>
      <c r="X1014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015" spans="2:24" x14ac:dyDescent="0.45">
      <c r="B1015" s="7"/>
      <c r="C1015" s="7"/>
      <c r="D1015" s="7"/>
      <c r="E1015" s="7"/>
      <c r="F1015" s="6"/>
      <c r="G1015" s="6"/>
      <c r="H1015" s="6"/>
      <c r="I1015" s="6"/>
      <c r="J1015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015" s="21"/>
      <c r="L1015" s="7"/>
      <c r="M1015" s="41"/>
      <c r="N1015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015" s="26" t="str">
        <f>IF(
   T_Channel[[#This Row],[ProviderName]]="",
   "",
   COUNTIF($N$12:$N$9982,T_Channel[[#This Row],[ProviderName]])
)</f>
        <v/>
      </c>
      <c r="P1015" s="26" t="str">
        <f>IF(
   T_Channel[[#This Row],[Check]]&lt;&gt;"OK",
   "",
   IF(
      T_Channel[[#This Row],[Query]]="",
      "Empty",
      "Defined"
   )
)</f>
        <v/>
      </c>
      <c r="Q1015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015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015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01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015" s="20" t="str">
        <f>IF(
   T_Channel[[#This Row],[Check]]&lt;&gt;"OK",
   "",
   T_Channel[[#This Row],[ChannelSymbol]] &amp; ".evtx"
)</f>
        <v/>
      </c>
      <c r="V1015" s="20" t="str">
        <f>IF(
   T_Channel[[#This Row],[Check]]&lt;&gt;"OK",
   "",
   T_Channel[[#This Row],[LogFolder]] &amp; "\" &amp; T_Channel[[#This Row],[LogFile]]
)</f>
        <v/>
      </c>
      <c r="W1015" s="20" t="str">
        <f>IF(
   T_Channel[[#This Row],[Safekeeping of logs]]="",
   "",
   VLOOKUP(T_Channel[[#This Row],[Safekeeping of logs]],T_List_LogMode[],2,FALSE)
)</f>
        <v/>
      </c>
      <c r="X1015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016" spans="2:24" x14ac:dyDescent="0.45">
      <c r="B1016" s="7"/>
      <c r="C1016" s="7"/>
      <c r="D1016" s="7"/>
      <c r="E1016" s="7"/>
      <c r="F1016" s="6"/>
      <c r="G1016" s="6"/>
      <c r="H1016" s="6"/>
      <c r="I1016" s="6"/>
      <c r="J1016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016" s="21"/>
      <c r="L1016" s="7"/>
      <c r="M1016" s="41"/>
      <c r="N1016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016" s="26" t="str">
        <f>IF(
   T_Channel[[#This Row],[ProviderName]]="",
   "",
   COUNTIF($N$12:$N$9982,T_Channel[[#This Row],[ProviderName]])
)</f>
        <v/>
      </c>
      <c r="P1016" s="26" t="str">
        <f>IF(
   T_Channel[[#This Row],[Check]]&lt;&gt;"OK",
   "",
   IF(
      T_Channel[[#This Row],[Query]]="",
      "Empty",
      "Defined"
   )
)</f>
        <v/>
      </c>
      <c r="Q1016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016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016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01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016" s="20" t="str">
        <f>IF(
   T_Channel[[#This Row],[Check]]&lt;&gt;"OK",
   "",
   T_Channel[[#This Row],[ChannelSymbol]] &amp; ".evtx"
)</f>
        <v/>
      </c>
      <c r="V1016" s="20" t="str">
        <f>IF(
   T_Channel[[#This Row],[Check]]&lt;&gt;"OK",
   "",
   T_Channel[[#This Row],[LogFolder]] &amp; "\" &amp; T_Channel[[#This Row],[LogFile]]
)</f>
        <v/>
      </c>
      <c r="W1016" s="20" t="str">
        <f>IF(
   T_Channel[[#This Row],[Safekeeping of logs]]="",
   "",
   VLOOKUP(T_Channel[[#This Row],[Safekeeping of logs]],T_List_LogMode[],2,FALSE)
)</f>
        <v/>
      </c>
      <c r="X1016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017" spans="2:24" x14ac:dyDescent="0.45">
      <c r="B1017" s="7"/>
      <c r="C1017" s="7"/>
      <c r="D1017" s="7"/>
      <c r="E1017" s="7"/>
      <c r="F1017" s="6"/>
      <c r="G1017" s="6"/>
      <c r="H1017" s="6"/>
      <c r="I1017" s="6"/>
      <c r="J1017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017" s="21"/>
      <c r="L1017" s="7"/>
      <c r="M1017" s="41"/>
      <c r="N1017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017" s="26" t="str">
        <f>IF(
   T_Channel[[#This Row],[ProviderName]]="",
   "",
   COUNTIF($N$12:$N$9982,T_Channel[[#This Row],[ProviderName]])
)</f>
        <v/>
      </c>
      <c r="P1017" s="26" t="str">
        <f>IF(
   T_Channel[[#This Row],[Check]]&lt;&gt;"OK",
   "",
   IF(
      T_Channel[[#This Row],[Query]]="",
      "Empty",
      "Defined"
   )
)</f>
        <v/>
      </c>
      <c r="Q1017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017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017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01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017" s="20" t="str">
        <f>IF(
   T_Channel[[#This Row],[Check]]&lt;&gt;"OK",
   "",
   T_Channel[[#This Row],[ChannelSymbol]] &amp; ".evtx"
)</f>
        <v/>
      </c>
      <c r="V1017" s="20" t="str">
        <f>IF(
   T_Channel[[#This Row],[Check]]&lt;&gt;"OK",
   "",
   T_Channel[[#This Row],[LogFolder]] &amp; "\" &amp; T_Channel[[#This Row],[LogFile]]
)</f>
        <v/>
      </c>
      <c r="W1017" s="20" t="str">
        <f>IF(
   T_Channel[[#This Row],[Safekeeping of logs]]="",
   "",
   VLOOKUP(T_Channel[[#This Row],[Safekeeping of logs]],T_List_LogMode[],2,FALSE)
)</f>
        <v/>
      </c>
      <c r="X1017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018" spans="2:24" x14ac:dyDescent="0.45">
      <c r="B1018" s="7"/>
      <c r="C1018" s="7"/>
      <c r="D1018" s="7"/>
      <c r="E1018" s="7"/>
      <c r="F1018" s="6"/>
      <c r="G1018" s="6"/>
      <c r="H1018" s="6"/>
      <c r="I1018" s="6"/>
      <c r="J1018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018" s="21"/>
      <c r="L1018" s="7"/>
      <c r="M1018" s="41"/>
      <c r="N1018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018" s="26" t="str">
        <f>IF(
   T_Channel[[#This Row],[ProviderName]]="",
   "",
   COUNTIF($N$12:$N$9982,T_Channel[[#This Row],[ProviderName]])
)</f>
        <v/>
      </c>
      <c r="P1018" s="26" t="str">
        <f>IF(
   T_Channel[[#This Row],[Check]]&lt;&gt;"OK",
   "",
   IF(
      T_Channel[[#This Row],[Query]]="",
      "Empty",
      "Defined"
   )
)</f>
        <v/>
      </c>
      <c r="Q1018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018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018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01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018" s="20" t="str">
        <f>IF(
   T_Channel[[#This Row],[Check]]&lt;&gt;"OK",
   "",
   T_Channel[[#This Row],[ChannelSymbol]] &amp; ".evtx"
)</f>
        <v/>
      </c>
      <c r="V1018" s="20" t="str">
        <f>IF(
   T_Channel[[#This Row],[Check]]&lt;&gt;"OK",
   "",
   T_Channel[[#This Row],[LogFolder]] &amp; "\" &amp; T_Channel[[#This Row],[LogFile]]
)</f>
        <v/>
      </c>
      <c r="W1018" s="20" t="str">
        <f>IF(
   T_Channel[[#This Row],[Safekeeping of logs]]="",
   "",
   VLOOKUP(T_Channel[[#This Row],[Safekeeping of logs]],T_List_LogMode[],2,FALSE)
)</f>
        <v/>
      </c>
      <c r="X1018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019" spans="2:24" x14ac:dyDescent="0.45">
      <c r="B1019" s="7"/>
      <c r="C1019" s="7"/>
      <c r="D1019" s="7"/>
      <c r="E1019" s="7"/>
      <c r="F1019" s="6"/>
      <c r="G1019" s="6"/>
      <c r="H1019" s="6"/>
      <c r="I1019" s="6"/>
      <c r="J1019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019" s="21"/>
      <c r="L1019" s="7"/>
      <c r="M1019" s="41"/>
      <c r="N1019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019" s="26" t="str">
        <f>IF(
   T_Channel[[#This Row],[ProviderName]]="",
   "",
   COUNTIF($N$12:$N$9982,T_Channel[[#This Row],[ProviderName]])
)</f>
        <v/>
      </c>
      <c r="P1019" s="26" t="str">
        <f>IF(
   T_Channel[[#This Row],[Check]]&lt;&gt;"OK",
   "",
   IF(
      T_Channel[[#This Row],[Query]]="",
      "Empty",
      "Defined"
   )
)</f>
        <v/>
      </c>
      <c r="Q1019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019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019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01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019" s="20" t="str">
        <f>IF(
   T_Channel[[#This Row],[Check]]&lt;&gt;"OK",
   "",
   T_Channel[[#This Row],[ChannelSymbol]] &amp; ".evtx"
)</f>
        <v/>
      </c>
      <c r="V1019" s="20" t="str">
        <f>IF(
   T_Channel[[#This Row],[Check]]&lt;&gt;"OK",
   "",
   T_Channel[[#This Row],[LogFolder]] &amp; "\" &amp; T_Channel[[#This Row],[LogFile]]
)</f>
        <v/>
      </c>
      <c r="W1019" s="20" t="str">
        <f>IF(
   T_Channel[[#This Row],[Safekeeping of logs]]="",
   "",
   VLOOKUP(T_Channel[[#This Row],[Safekeeping of logs]],T_List_LogMode[],2,FALSE)
)</f>
        <v/>
      </c>
      <c r="X1019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020" spans="2:24" x14ac:dyDescent="0.45">
      <c r="B1020" s="7"/>
      <c r="C1020" s="7"/>
      <c r="D1020" s="7"/>
      <c r="E1020" s="7"/>
      <c r="F1020" s="6"/>
      <c r="G1020" s="6"/>
      <c r="H1020" s="6"/>
      <c r="I1020" s="6"/>
      <c r="J1020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020" s="21"/>
      <c r="L1020" s="7"/>
      <c r="M1020" s="41"/>
      <c r="N1020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020" s="26" t="str">
        <f>IF(
   T_Channel[[#This Row],[ProviderName]]="",
   "",
   COUNTIF($N$12:$N$9982,T_Channel[[#This Row],[ProviderName]])
)</f>
        <v/>
      </c>
      <c r="P1020" s="26" t="str">
        <f>IF(
   T_Channel[[#This Row],[Check]]&lt;&gt;"OK",
   "",
   IF(
      T_Channel[[#This Row],[Query]]="",
      "Empty",
      "Defined"
   )
)</f>
        <v/>
      </c>
      <c r="Q1020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020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020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02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020" s="20" t="str">
        <f>IF(
   T_Channel[[#This Row],[Check]]&lt;&gt;"OK",
   "",
   T_Channel[[#This Row],[ChannelSymbol]] &amp; ".evtx"
)</f>
        <v/>
      </c>
      <c r="V1020" s="20" t="str">
        <f>IF(
   T_Channel[[#This Row],[Check]]&lt;&gt;"OK",
   "",
   T_Channel[[#This Row],[LogFolder]] &amp; "\" &amp; T_Channel[[#This Row],[LogFile]]
)</f>
        <v/>
      </c>
      <c r="W1020" s="20" t="str">
        <f>IF(
   T_Channel[[#This Row],[Safekeeping of logs]]="",
   "",
   VLOOKUP(T_Channel[[#This Row],[Safekeeping of logs]],T_List_LogMode[],2,FALSE)
)</f>
        <v/>
      </c>
      <c r="X1020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021" spans="2:24" x14ac:dyDescent="0.45">
      <c r="B1021" s="7"/>
      <c r="C1021" s="7"/>
      <c r="D1021" s="7"/>
      <c r="E1021" s="7"/>
      <c r="F1021" s="6"/>
      <c r="G1021" s="6"/>
      <c r="H1021" s="6"/>
      <c r="I1021" s="6"/>
      <c r="J1021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021" s="21"/>
      <c r="L1021" s="7"/>
      <c r="M1021" s="41"/>
      <c r="N1021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021" s="26" t="str">
        <f>IF(
   T_Channel[[#This Row],[ProviderName]]="",
   "",
   COUNTIF($N$12:$N$9982,T_Channel[[#This Row],[ProviderName]])
)</f>
        <v/>
      </c>
      <c r="P1021" s="26" t="str">
        <f>IF(
   T_Channel[[#This Row],[Check]]&lt;&gt;"OK",
   "",
   IF(
      T_Channel[[#This Row],[Query]]="",
      "Empty",
      "Defined"
   )
)</f>
        <v/>
      </c>
      <c r="Q1021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021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021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02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021" s="20" t="str">
        <f>IF(
   T_Channel[[#This Row],[Check]]&lt;&gt;"OK",
   "",
   T_Channel[[#This Row],[ChannelSymbol]] &amp; ".evtx"
)</f>
        <v/>
      </c>
      <c r="V1021" s="20" t="str">
        <f>IF(
   T_Channel[[#This Row],[Check]]&lt;&gt;"OK",
   "",
   T_Channel[[#This Row],[LogFolder]] &amp; "\" &amp; T_Channel[[#This Row],[LogFile]]
)</f>
        <v/>
      </c>
      <c r="W1021" s="20" t="str">
        <f>IF(
   T_Channel[[#This Row],[Safekeeping of logs]]="",
   "",
   VLOOKUP(T_Channel[[#This Row],[Safekeeping of logs]],T_List_LogMode[],2,FALSE)
)</f>
        <v/>
      </c>
      <c r="X1021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022" spans="2:24" x14ac:dyDescent="0.45">
      <c r="B1022" s="7"/>
      <c r="C1022" s="7"/>
      <c r="D1022" s="7"/>
      <c r="E1022" s="7"/>
      <c r="F1022" s="6"/>
      <c r="G1022" s="6"/>
      <c r="H1022" s="6"/>
      <c r="I1022" s="6"/>
      <c r="J1022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022" s="21"/>
      <c r="L1022" s="7"/>
      <c r="M1022" s="41"/>
      <c r="N1022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022" s="26" t="str">
        <f>IF(
   T_Channel[[#This Row],[ProviderName]]="",
   "",
   COUNTIF($N$12:$N$9982,T_Channel[[#This Row],[ProviderName]])
)</f>
        <v/>
      </c>
      <c r="P1022" s="26" t="str">
        <f>IF(
   T_Channel[[#This Row],[Check]]&lt;&gt;"OK",
   "",
   IF(
      T_Channel[[#This Row],[Query]]="",
      "Empty",
      "Defined"
   )
)</f>
        <v/>
      </c>
      <c r="Q1022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022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022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02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022" s="20" t="str">
        <f>IF(
   T_Channel[[#This Row],[Check]]&lt;&gt;"OK",
   "",
   T_Channel[[#This Row],[ChannelSymbol]] &amp; ".evtx"
)</f>
        <v/>
      </c>
      <c r="V1022" s="20" t="str">
        <f>IF(
   T_Channel[[#This Row],[Check]]&lt;&gt;"OK",
   "",
   T_Channel[[#This Row],[LogFolder]] &amp; "\" &amp; T_Channel[[#This Row],[LogFile]]
)</f>
        <v/>
      </c>
      <c r="W1022" s="20" t="str">
        <f>IF(
   T_Channel[[#This Row],[Safekeeping of logs]]="",
   "",
   VLOOKUP(T_Channel[[#This Row],[Safekeeping of logs]],T_List_LogMode[],2,FALSE)
)</f>
        <v/>
      </c>
      <c r="X1022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023" spans="2:24" x14ac:dyDescent="0.45">
      <c r="B1023" s="7"/>
      <c r="C1023" s="7"/>
      <c r="D1023" s="7"/>
      <c r="E1023" s="7"/>
      <c r="F1023" s="6"/>
      <c r="G1023" s="6"/>
      <c r="H1023" s="6"/>
      <c r="I1023" s="6"/>
      <c r="J1023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023" s="21"/>
      <c r="L1023" s="7"/>
      <c r="M1023" s="41"/>
      <c r="N1023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023" s="26" t="str">
        <f>IF(
   T_Channel[[#This Row],[ProviderName]]="",
   "",
   COUNTIF($N$12:$N$9982,T_Channel[[#This Row],[ProviderName]])
)</f>
        <v/>
      </c>
      <c r="P1023" s="26" t="str">
        <f>IF(
   T_Channel[[#This Row],[Check]]&lt;&gt;"OK",
   "",
   IF(
      T_Channel[[#This Row],[Query]]="",
      "Empty",
      "Defined"
   )
)</f>
        <v/>
      </c>
      <c r="Q1023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023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023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02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023" s="20" t="str">
        <f>IF(
   T_Channel[[#This Row],[Check]]&lt;&gt;"OK",
   "",
   T_Channel[[#This Row],[ChannelSymbol]] &amp; ".evtx"
)</f>
        <v/>
      </c>
      <c r="V1023" s="20" t="str">
        <f>IF(
   T_Channel[[#This Row],[Check]]&lt;&gt;"OK",
   "",
   T_Channel[[#This Row],[LogFolder]] &amp; "\" &amp; T_Channel[[#This Row],[LogFile]]
)</f>
        <v/>
      </c>
      <c r="W1023" s="20" t="str">
        <f>IF(
   T_Channel[[#This Row],[Safekeeping of logs]]="",
   "",
   VLOOKUP(T_Channel[[#This Row],[Safekeeping of logs]],T_List_LogMode[],2,FALSE)
)</f>
        <v/>
      </c>
      <c r="X1023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024" spans="2:24" x14ac:dyDescent="0.45">
      <c r="B1024" s="7"/>
      <c r="C1024" s="7"/>
      <c r="D1024" s="7"/>
      <c r="E1024" s="7"/>
      <c r="F1024" s="6"/>
      <c r="G1024" s="6"/>
      <c r="H1024" s="6"/>
      <c r="I1024" s="6"/>
      <c r="J1024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024" s="21"/>
      <c r="L1024" s="7"/>
      <c r="M1024" s="41"/>
      <c r="N1024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024" s="26" t="str">
        <f>IF(
   T_Channel[[#This Row],[ProviderName]]="",
   "",
   COUNTIF($N$12:$N$9982,T_Channel[[#This Row],[ProviderName]])
)</f>
        <v/>
      </c>
      <c r="P1024" s="26" t="str">
        <f>IF(
   T_Channel[[#This Row],[Check]]&lt;&gt;"OK",
   "",
   IF(
      T_Channel[[#This Row],[Query]]="",
      "Empty",
      "Defined"
   )
)</f>
        <v/>
      </c>
      <c r="Q1024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024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024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02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024" s="20" t="str">
        <f>IF(
   T_Channel[[#This Row],[Check]]&lt;&gt;"OK",
   "",
   T_Channel[[#This Row],[ChannelSymbol]] &amp; ".evtx"
)</f>
        <v/>
      </c>
      <c r="V1024" s="20" t="str">
        <f>IF(
   T_Channel[[#This Row],[Check]]&lt;&gt;"OK",
   "",
   T_Channel[[#This Row],[LogFolder]] &amp; "\" &amp; T_Channel[[#This Row],[LogFile]]
)</f>
        <v/>
      </c>
      <c r="W1024" s="20" t="str">
        <f>IF(
   T_Channel[[#This Row],[Safekeeping of logs]]="",
   "",
   VLOOKUP(T_Channel[[#This Row],[Safekeeping of logs]],T_List_LogMode[],2,FALSE)
)</f>
        <v/>
      </c>
      <c r="X1024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025" spans="2:24" x14ac:dyDescent="0.45">
      <c r="B1025" s="7"/>
      <c r="C1025" s="7"/>
      <c r="D1025" s="7"/>
      <c r="E1025" s="7"/>
      <c r="F1025" s="6"/>
      <c r="G1025" s="6"/>
      <c r="H1025" s="6"/>
      <c r="I1025" s="6"/>
      <c r="J1025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025" s="21"/>
      <c r="L1025" s="7"/>
      <c r="M1025" s="41"/>
      <c r="N1025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025" s="26" t="str">
        <f>IF(
   T_Channel[[#This Row],[ProviderName]]="",
   "",
   COUNTIF($N$12:$N$9982,T_Channel[[#This Row],[ProviderName]])
)</f>
        <v/>
      </c>
      <c r="P1025" s="26" t="str">
        <f>IF(
   T_Channel[[#This Row],[Check]]&lt;&gt;"OK",
   "",
   IF(
      T_Channel[[#This Row],[Query]]="",
      "Empty",
      "Defined"
   )
)</f>
        <v/>
      </c>
      <c r="Q1025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025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025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02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025" s="20" t="str">
        <f>IF(
   T_Channel[[#This Row],[Check]]&lt;&gt;"OK",
   "",
   T_Channel[[#This Row],[ChannelSymbol]] &amp; ".evtx"
)</f>
        <v/>
      </c>
      <c r="V1025" s="20" t="str">
        <f>IF(
   T_Channel[[#This Row],[Check]]&lt;&gt;"OK",
   "",
   T_Channel[[#This Row],[LogFolder]] &amp; "\" &amp; T_Channel[[#This Row],[LogFile]]
)</f>
        <v/>
      </c>
      <c r="W1025" s="20" t="str">
        <f>IF(
   T_Channel[[#This Row],[Safekeeping of logs]]="",
   "",
   VLOOKUP(T_Channel[[#This Row],[Safekeeping of logs]],T_List_LogMode[],2,FALSE)
)</f>
        <v/>
      </c>
      <c r="X1025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026" spans="2:24" x14ac:dyDescent="0.45">
      <c r="B1026" s="7"/>
      <c r="C1026" s="7"/>
      <c r="D1026" s="7"/>
      <c r="E1026" s="7"/>
      <c r="F1026" s="6"/>
      <c r="G1026" s="6"/>
      <c r="H1026" s="6"/>
      <c r="I1026" s="6"/>
      <c r="J1026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026" s="21"/>
      <c r="L1026" s="7"/>
      <c r="M1026" s="41"/>
      <c r="N1026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026" s="26" t="str">
        <f>IF(
   T_Channel[[#This Row],[ProviderName]]="",
   "",
   COUNTIF($N$12:$N$9982,T_Channel[[#This Row],[ProviderName]])
)</f>
        <v/>
      </c>
      <c r="P1026" s="26" t="str">
        <f>IF(
   T_Channel[[#This Row],[Check]]&lt;&gt;"OK",
   "",
   IF(
      T_Channel[[#This Row],[Query]]="",
      "Empty",
      "Defined"
   )
)</f>
        <v/>
      </c>
      <c r="Q1026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026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026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02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026" s="20" t="str">
        <f>IF(
   T_Channel[[#This Row],[Check]]&lt;&gt;"OK",
   "",
   T_Channel[[#This Row],[ChannelSymbol]] &amp; ".evtx"
)</f>
        <v/>
      </c>
      <c r="V1026" s="20" t="str">
        <f>IF(
   T_Channel[[#This Row],[Check]]&lt;&gt;"OK",
   "",
   T_Channel[[#This Row],[LogFolder]] &amp; "\" &amp; T_Channel[[#This Row],[LogFile]]
)</f>
        <v/>
      </c>
      <c r="W1026" s="20" t="str">
        <f>IF(
   T_Channel[[#This Row],[Safekeeping of logs]]="",
   "",
   VLOOKUP(T_Channel[[#This Row],[Safekeeping of logs]],T_List_LogMode[],2,FALSE)
)</f>
        <v/>
      </c>
      <c r="X1026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027" spans="2:24" x14ac:dyDescent="0.45">
      <c r="B1027" s="7"/>
      <c r="C1027" s="7"/>
      <c r="D1027" s="7"/>
      <c r="E1027" s="7"/>
      <c r="F1027" s="6"/>
      <c r="G1027" s="6"/>
      <c r="H1027" s="6"/>
      <c r="I1027" s="6"/>
      <c r="J1027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027" s="21"/>
      <c r="L1027" s="7"/>
      <c r="M1027" s="41"/>
      <c r="N1027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027" s="26" t="str">
        <f>IF(
   T_Channel[[#This Row],[ProviderName]]="",
   "",
   COUNTIF($N$12:$N$9982,T_Channel[[#This Row],[ProviderName]])
)</f>
        <v/>
      </c>
      <c r="P1027" s="26" t="str">
        <f>IF(
   T_Channel[[#This Row],[Check]]&lt;&gt;"OK",
   "",
   IF(
      T_Channel[[#This Row],[Query]]="",
      "Empty",
      "Defined"
   )
)</f>
        <v/>
      </c>
      <c r="Q1027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027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027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02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027" s="20" t="str">
        <f>IF(
   T_Channel[[#This Row],[Check]]&lt;&gt;"OK",
   "",
   T_Channel[[#This Row],[ChannelSymbol]] &amp; ".evtx"
)</f>
        <v/>
      </c>
      <c r="V1027" s="20" t="str">
        <f>IF(
   T_Channel[[#This Row],[Check]]&lt;&gt;"OK",
   "",
   T_Channel[[#This Row],[LogFolder]] &amp; "\" &amp; T_Channel[[#This Row],[LogFile]]
)</f>
        <v/>
      </c>
      <c r="W1027" s="20" t="str">
        <f>IF(
   T_Channel[[#This Row],[Safekeeping of logs]]="",
   "",
   VLOOKUP(T_Channel[[#This Row],[Safekeeping of logs]],T_List_LogMode[],2,FALSE)
)</f>
        <v/>
      </c>
      <c r="X1027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028" spans="2:24" x14ac:dyDescent="0.45">
      <c r="B1028" s="7"/>
      <c r="C1028" s="7"/>
      <c r="D1028" s="7"/>
      <c r="E1028" s="7"/>
      <c r="F1028" s="6"/>
      <c r="G1028" s="6"/>
      <c r="H1028" s="6"/>
      <c r="I1028" s="6"/>
      <c r="J1028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028" s="21"/>
      <c r="L1028" s="7"/>
      <c r="M1028" s="41"/>
      <c r="N1028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028" s="26" t="str">
        <f>IF(
   T_Channel[[#This Row],[ProviderName]]="",
   "",
   COUNTIF($N$12:$N$9982,T_Channel[[#This Row],[ProviderName]])
)</f>
        <v/>
      </c>
      <c r="P1028" s="26" t="str">
        <f>IF(
   T_Channel[[#This Row],[Check]]&lt;&gt;"OK",
   "",
   IF(
      T_Channel[[#This Row],[Query]]="",
      "Empty",
      "Defined"
   )
)</f>
        <v/>
      </c>
      <c r="Q1028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028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028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02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028" s="20" t="str">
        <f>IF(
   T_Channel[[#This Row],[Check]]&lt;&gt;"OK",
   "",
   T_Channel[[#This Row],[ChannelSymbol]] &amp; ".evtx"
)</f>
        <v/>
      </c>
      <c r="V1028" s="20" t="str">
        <f>IF(
   T_Channel[[#This Row],[Check]]&lt;&gt;"OK",
   "",
   T_Channel[[#This Row],[LogFolder]] &amp; "\" &amp; T_Channel[[#This Row],[LogFile]]
)</f>
        <v/>
      </c>
      <c r="W1028" s="20" t="str">
        <f>IF(
   T_Channel[[#This Row],[Safekeeping of logs]]="",
   "",
   VLOOKUP(T_Channel[[#This Row],[Safekeeping of logs]],T_List_LogMode[],2,FALSE)
)</f>
        <v/>
      </c>
      <c r="X1028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029" spans="2:24" x14ac:dyDescent="0.45">
      <c r="B1029" s="7"/>
      <c r="C1029" s="7"/>
      <c r="D1029" s="7"/>
      <c r="E1029" s="7"/>
      <c r="F1029" s="6"/>
      <c r="G1029" s="6"/>
      <c r="H1029" s="6"/>
      <c r="I1029" s="6"/>
      <c r="J1029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029" s="21"/>
      <c r="L1029" s="7"/>
      <c r="M1029" s="41"/>
      <c r="N1029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029" s="26" t="str">
        <f>IF(
   T_Channel[[#This Row],[ProviderName]]="",
   "",
   COUNTIF($N$12:$N$9982,T_Channel[[#This Row],[ProviderName]])
)</f>
        <v/>
      </c>
      <c r="P1029" s="26" t="str">
        <f>IF(
   T_Channel[[#This Row],[Check]]&lt;&gt;"OK",
   "",
   IF(
      T_Channel[[#This Row],[Query]]="",
      "Empty",
      "Defined"
   )
)</f>
        <v/>
      </c>
      <c r="Q1029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029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029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02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029" s="20" t="str">
        <f>IF(
   T_Channel[[#This Row],[Check]]&lt;&gt;"OK",
   "",
   T_Channel[[#This Row],[ChannelSymbol]] &amp; ".evtx"
)</f>
        <v/>
      </c>
      <c r="V1029" s="20" t="str">
        <f>IF(
   T_Channel[[#This Row],[Check]]&lt;&gt;"OK",
   "",
   T_Channel[[#This Row],[LogFolder]] &amp; "\" &amp; T_Channel[[#This Row],[LogFile]]
)</f>
        <v/>
      </c>
      <c r="W1029" s="20" t="str">
        <f>IF(
   T_Channel[[#This Row],[Safekeeping of logs]]="",
   "",
   VLOOKUP(T_Channel[[#This Row],[Safekeeping of logs]],T_List_LogMode[],2,FALSE)
)</f>
        <v/>
      </c>
      <c r="X1029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030" spans="2:24" x14ac:dyDescent="0.45">
      <c r="B1030" s="7"/>
      <c r="C1030" s="7"/>
      <c r="D1030" s="7"/>
      <c r="E1030" s="7"/>
      <c r="F1030" s="6"/>
      <c r="G1030" s="6"/>
      <c r="H1030" s="6"/>
      <c r="I1030" s="6"/>
      <c r="J1030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030" s="21"/>
      <c r="L1030" s="7"/>
      <c r="M1030" s="41"/>
      <c r="N1030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030" s="26" t="str">
        <f>IF(
   T_Channel[[#This Row],[ProviderName]]="",
   "",
   COUNTIF($N$12:$N$9982,T_Channel[[#This Row],[ProviderName]])
)</f>
        <v/>
      </c>
      <c r="P1030" s="26" t="str">
        <f>IF(
   T_Channel[[#This Row],[Check]]&lt;&gt;"OK",
   "",
   IF(
      T_Channel[[#This Row],[Query]]="",
      "Empty",
      "Defined"
   )
)</f>
        <v/>
      </c>
      <c r="Q1030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030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030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03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030" s="20" t="str">
        <f>IF(
   T_Channel[[#This Row],[Check]]&lt;&gt;"OK",
   "",
   T_Channel[[#This Row],[ChannelSymbol]] &amp; ".evtx"
)</f>
        <v/>
      </c>
      <c r="V1030" s="20" t="str">
        <f>IF(
   T_Channel[[#This Row],[Check]]&lt;&gt;"OK",
   "",
   T_Channel[[#This Row],[LogFolder]] &amp; "\" &amp; T_Channel[[#This Row],[LogFile]]
)</f>
        <v/>
      </c>
      <c r="W1030" s="20" t="str">
        <f>IF(
   T_Channel[[#This Row],[Safekeeping of logs]]="",
   "",
   VLOOKUP(T_Channel[[#This Row],[Safekeeping of logs]],T_List_LogMode[],2,FALSE)
)</f>
        <v/>
      </c>
      <c r="X1030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031" spans="2:24" x14ac:dyDescent="0.45">
      <c r="B1031" s="7"/>
      <c r="C1031" s="7"/>
      <c r="D1031" s="7"/>
      <c r="E1031" s="7"/>
      <c r="F1031" s="6"/>
      <c r="G1031" s="6"/>
      <c r="H1031" s="6"/>
      <c r="I1031" s="6"/>
      <c r="J1031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031" s="21"/>
      <c r="L1031" s="7"/>
      <c r="M1031" s="41"/>
      <c r="N1031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031" s="26" t="str">
        <f>IF(
   T_Channel[[#This Row],[ProviderName]]="",
   "",
   COUNTIF($N$12:$N$9982,T_Channel[[#This Row],[ProviderName]])
)</f>
        <v/>
      </c>
      <c r="P1031" s="26" t="str">
        <f>IF(
   T_Channel[[#This Row],[Check]]&lt;&gt;"OK",
   "",
   IF(
      T_Channel[[#This Row],[Query]]="",
      "Empty",
      "Defined"
   )
)</f>
        <v/>
      </c>
      <c r="Q1031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031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031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03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031" s="20" t="str">
        <f>IF(
   T_Channel[[#This Row],[Check]]&lt;&gt;"OK",
   "",
   T_Channel[[#This Row],[ChannelSymbol]] &amp; ".evtx"
)</f>
        <v/>
      </c>
      <c r="V1031" s="20" t="str">
        <f>IF(
   T_Channel[[#This Row],[Check]]&lt;&gt;"OK",
   "",
   T_Channel[[#This Row],[LogFolder]] &amp; "\" &amp; T_Channel[[#This Row],[LogFile]]
)</f>
        <v/>
      </c>
      <c r="W1031" s="20" t="str">
        <f>IF(
   T_Channel[[#This Row],[Safekeeping of logs]]="",
   "",
   VLOOKUP(T_Channel[[#This Row],[Safekeeping of logs]],T_List_LogMode[],2,FALSE)
)</f>
        <v/>
      </c>
      <c r="X1031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032" spans="2:24" x14ac:dyDescent="0.45">
      <c r="B1032" s="7"/>
      <c r="C1032" s="7"/>
      <c r="D1032" s="7"/>
      <c r="E1032" s="7"/>
      <c r="F1032" s="6"/>
      <c r="G1032" s="6"/>
      <c r="H1032" s="6"/>
      <c r="I1032" s="6"/>
      <c r="J1032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032" s="21"/>
      <c r="L1032" s="7"/>
      <c r="M1032" s="41"/>
      <c r="N1032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032" s="26" t="str">
        <f>IF(
   T_Channel[[#This Row],[ProviderName]]="",
   "",
   COUNTIF($N$12:$N$9982,T_Channel[[#This Row],[ProviderName]])
)</f>
        <v/>
      </c>
      <c r="P1032" s="26" t="str">
        <f>IF(
   T_Channel[[#This Row],[Check]]&lt;&gt;"OK",
   "",
   IF(
      T_Channel[[#This Row],[Query]]="",
      "Empty",
      "Defined"
   )
)</f>
        <v/>
      </c>
      <c r="Q1032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032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032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03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032" s="20" t="str">
        <f>IF(
   T_Channel[[#This Row],[Check]]&lt;&gt;"OK",
   "",
   T_Channel[[#This Row],[ChannelSymbol]] &amp; ".evtx"
)</f>
        <v/>
      </c>
      <c r="V1032" s="20" t="str">
        <f>IF(
   T_Channel[[#This Row],[Check]]&lt;&gt;"OK",
   "",
   T_Channel[[#This Row],[LogFolder]] &amp; "\" &amp; T_Channel[[#This Row],[LogFile]]
)</f>
        <v/>
      </c>
      <c r="W1032" s="20" t="str">
        <f>IF(
   T_Channel[[#This Row],[Safekeeping of logs]]="",
   "",
   VLOOKUP(T_Channel[[#This Row],[Safekeeping of logs]],T_List_LogMode[],2,FALSE)
)</f>
        <v/>
      </c>
      <c r="X1032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033" spans="2:24" x14ac:dyDescent="0.45">
      <c r="B1033" s="7"/>
      <c r="C1033" s="7"/>
      <c r="D1033" s="7"/>
      <c r="E1033" s="7"/>
      <c r="F1033" s="6"/>
      <c r="G1033" s="6"/>
      <c r="H1033" s="6"/>
      <c r="I1033" s="6"/>
      <c r="J1033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033" s="21"/>
      <c r="L1033" s="7"/>
      <c r="M1033" s="41"/>
      <c r="N1033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033" s="26" t="str">
        <f>IF(
   T_Channel[[#This Row],[ProviderName]]="",
   "",
   COUNTIF($N$12:$N$9982,T_Channel[[#This Row],[ProviderName]])
)</f>
        <v/>
      </c>
      <c r="P1033" s="26" t="str">
        <f>IF(
   T_Channel[[#This Row],[Check]]&lt;&gt;"OK",
   "",
   IF(
      T_Channel[[#This Row],[Query]]="",
      "Empty",
      "Defined"
   )
)</f>
        <v/>
      </c>
      <c r="Q1033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033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033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03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033" s="20" t="str">
        <f>IF(
   T_Channel[[#This Row],[Check]]&lt;&gt;"OK",
   "",
   T_Channel[[#This Row],[ChannelSymbol]] &amp; ".evtx"
)</f>
        <v/>
      </c>
      <c r="V1033" s="20" t="str">
        <f>IF(
   T_Channel[[#This Row],[Check]]&lt;&gt;"OK",
   "",
   T_Channel[[#This Row],[LogFolder]] &amp; "\" &amp; T_Channel[[#This Row],[LogFile]]
)</f>
        <v/>
      </c>
      <c r="W1033" s="20" t="str">
        <f>IF(
   T_Channel[[#This Row],[Safekeeping of logs]]="",
   "",
   VLOOKUP(T_Channel[[#This Row],[Safekeeping of logs]],T_List_LogMode[],2,FALSE)
)</f>
        <v/>
      </c>
      <c r="X1033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034" spans="2:24" x14ac:dyDescent="0.45">
      <c r="B1034" s="7"/>
      <c r="C1034" s="7"/>
      <c r="D1034" s="7"/>
      <c r="E1034" s="7"/>
      <c r="F1034" s="6"/>
      <c r="G1034" s="6"/>
      <c r="H1034" s="6"/>
      <c r="I1034" s="6"/>
      <c r="J1034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034" s="21"/>
      <c r="L1034" s="7"/>
      <c r="M1034" s="41"/>
      <c r="N1034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034" s="26" t="str">
        <f>IF(
   T_Channel[[#This Row],[ProviderName]]="",
   "",
   COUNTIF($N$12:$N$9982,T_Channel[[#This Row],[ProviderName]])
)</f>
        <v/>
      </c>
      <c r="P1034" s="26" t="str">
        <f>IF(
   T_Channel[[#This Row],[Check]]&lt;&gt;"OK",
   "",
   IF(
      T_Channel[[#This Row],[Query]]="",
      "Empty",
      "Defined"
   )
)</f>
        <v/>
      </c>
      <c r="Q1034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034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034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03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034" s="20" t="str">
        <f>IF(
   T_Channel[[#This Row],[Check]]&lt;&gt;"OK",
   "",
   T_Channel[[#This Row],[ChannelSymbol]] &amp; ".evtx"
)</f>
        <v/>
      </c>
      <c r="V1034" s="20" t="str">
        <f>IF(
   T_Channel[[#This Row],[Check]]&lt;&gt;"OK",
   "",
   T_Channel[[#This Row],[LogFolder]] &amp; "\" &amp; T_Channel[[#This Row],[LogFile]]
)</f>
        <v/>
      </c>
      <c r="W1034" s="20" t="str">
        <f>IF(
   T_Channel[[#This Row],[Safekeeping of logs]]="",
   "",
   VLOOKUP(T_Channel[[#This Row],[Safekeeping of logs]],T_List_LogMode[],2,FALSE)
)</f>
        <v/>
      </c>
      <c r="X1034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035" spans="2:24" x14ac:dyDescent="0.45">
      <c r="B1035" s="7"/>
      <c r="C1035" s="7"/>
      <c r="D1035" s="7"/>
      <c r="E1035" s="7"/>
      <c r="F1035" s="6"/>
      <c r="G1035" s="6"/>
      <c r="H1035" s="6"/>
      <c r="I1035" s="6"/>
      <c r="J1035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035" s="21"/>
      <c r="L1035" s="7"/>
      <c r="M1035" s="41"/>
      <c r="N1035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035" s="26" t="str">
        <f>IF(
   T_Channel[[#This Row],[ProviderName]]="",
   "",
   COUNTIF($N$12:$N$9982,T_Channel[[#This Row],[ProviderName]])
)</f>
        <v/>
      </c>
      <c r="P1035" s="26" t="str">
        <f>IF(
   T_Channel[[#This Row],[Check]]&lt;&gt;"OK",
   "",
   IF(
      T_Channel[[#This Row],[Query]]="",
      "Empty",
      "Defined"
   )
)</f>
        <v/>
      </c>
      <c r="Q1035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035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035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03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035" s="20" t="str">
        <f>IF(
   T_Channel[[#This Row],[Check]]&lt;&gt;"OK",
   "",
   T_Channel[[#This Row],[ChannelSymbol]] &amp; ".evtx"
)</f>
        <v/>
      </c>
      <c r="V1035" s="20" t="str">
        <f>IF(
   T_Channel[[#This Row],[Check]]&lt;&gt;"OK",
   "",
   T_Channel[[#This Row],[LogFolder]] &amp; "\" &amp; T_Channel[[#This Row],[LogFile]]
)</f>
        <v/>
      </c>
      <c r="W1035" s="20" t="str">
        <f>IF(
   T_Channel[[#This Row],[Safekeeping of logs]]="",
   "",
   VLOOKUP(T_Channel[[#This Row],[Safekeeping of logs]],T_List_LogMode[],2,FALSE)
)</f>
        <v/>
      </c>
      <c r="X1035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036" spans="2:24" x14ac:dyDescent="0.45">
      <c r="B1036" s="7"/>
      <c r="C1036" s="7"/>
      <c r="D1036" s="7"/>
      <c r="E1036" s="7"/>
      <c r="F1036" s="6"/>
      <c r="G1036" s="6"/>
      <c r="H1036" s="6"/>
      <c r="I1036" s="6"/>
      <c r="J1036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036" s="21"/>
      <c r="L1036" s="7"/>
      <c r="M1036" s="41"/>
      <c r="N1036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036" s="26" t="str">
        <f>IF(
   T_Channel[[#This Row],[ProviderName]]="",
   "",
   COUNTIF($N$12:$N$9982,T_Channel[[#This Row],[ProviderName]])
)</f>
        <v/>
      </c>
      <c r="P1036" s="26" t="str">
        <f>IF(
   T_Channel[[#This Row],[Check]]&lt;&gt;"OK",
   "",
   IF(
      T_Channel[[#This Row],[Query]]="",
      "Empty",
      "Defined"
   )
)</f>
        <v/>
      </c>
      <c r="Q1036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036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036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03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036" s="20" t="str">
        <f>IF(
   T_Channel[[#This Row],[Check]]&lt;&gt;"OK",
   "",
   T_Channel[[#This Row],[ChannelSymbol]] &amp; ".evtx"
)</f>
        <v/>
      </c>
      <c r="V1036" s="20" t="str">
        <f>IF(
   T_Channel[[#This Row],[Check]]&lt;&gt;"OK",
   "",
   T_Channel[[#This Row],[LogFolder]] &amp; "\" &amp; T_Channel[[#This Row],[LogFile]]
)</f>
        <v/>
      </c>
      <c r="W1036" s="20" t="str">
        <f>IF(
   T_Channel[[#This Row],[Safekeeping of logs]]="",
   "",
   VLOOKUP(T_Channel[[#This Row],[Safekeeping of logs]],T_List_LogMode[],2,FALSE)
)</f>
        <v/>
      </c>
      <c r="X1036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037" spans="2:24" x14ac:dyDescent="0.45">
      <c r="B1037" s="7"/>
      <c r="C1037" s="7"/>
      <c r="D1037" s="7"/>
      <c r="E1037" s="7"/>
      <c r="F1037" s="6"/>
      <c r="G1037" s="6"/>
      <c r="H1037" s="6"/>
      <c r="I1037" s="6"/>
      <c r="J1037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037" s="21"/>
      <c r="L1037" s="7"/>
      <c r="M1037" s="41"/>
      <c r="N1037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037" s="26" t="str">
        <f>IF(
   T_Channel[[#This Row],[ProviderName]]="",
   "",
   COUNTIF($N$12:$N$9982,T_Channel[[#This Row],[ProviderName]])
)</f>
        <v/>
      </c>
      <c r="P1037" s="26" t="str">
        <f>IF(
   T_Channel[[#This Row],[Check]]&lt;&gt;"OK",
   "",
   IF(
      T_Channel[[#This Row],[Query]]="",
      "Empty",
      "Defined"
   )
)</f>
        <v/>
      </c>
      <c r="Q1037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037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037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03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037" s="20" t="str">
        <f>IF(
   T_Channel[[#This Row],[Check]]&lt;&gt;"OK",
   "",
   T_Channel[[#This Row],[ChannelSymbol]] &amp; ".evtx"
)</f>
        <v/>
      </c>
      <c r="V1037" s="20" t="str">
        <f>IF(
   T_Channel[[#This Row],[Check]]&lt;&gt;"OK",
   "",
   T_Channel[[#This Row],[LogFolder]] &amp; "\" &amp; T_Channel[[#This Row],[LogFile]]
)</f>
        <v/>
      </c>
      <c r="W1037" s="20" t="str">
        <f>IF(
   T_Channel[[#This Row],[Safekeeping of logs]]="",
   "",
   VLOOKUP(T_Channel[[#This Row],[Safekeeping of logs]],T_List_LogMode[],2,FALSE)
)</f>
        <v/>
      </c>
      <c r="X1037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038" spans="2:24" x14ac:dyDescent="0.45">
      <c r="B1038" s="7"/>
      <c r="C1038" s="7"/>
      <c r="D1038" s="7"/>
      <c r="E1038" s="7"/>
      <c r="F1038" s="6"/>
      <c r="G1038" s="6"/>
      <c r="H1038" s="6"/>
      <c r="I1038" s="6"/>
      <c r="J1038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038" s="21"/>
      <c r="L1038" s="7"/>
      <c r="M1038" s="41"/>
      <c r="N1038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038" s="26" t="str">
        <f>IF(
   T_Channel[[#This Row],[ProviderName]]="",
   "",
   COUNTIF($N$12:$N$9982,T_Channel[[#This Row],[ProviderName]])
)</f>
        <v/>
      </c>
      <c r="P1038" s="26" t="str">
        <f>IF(
   T_Channel[[#This Row],[Check]]&lt;&gt;"OK",
   "",
   IF(
      T_Channel[[#This Row],[Query]]="",
      "Empty",
      "Defined"
   )
)</f>
        <v/>
      </c>
      <c r="Q1038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038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038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03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038" s="20" t="str">
        <f>IF(
   T_Channel[[#This Row],[Check]]&lt;&gt;"OK",
   "",
   T_Channel[[#This Row],[ChannelSymbol]] &amp; ".evtx"
)</f>
        <v/>
      </c>
      <c r="V1038" s="20" t="str">
        <f>IF(
   T_Channel[[#This Row],[Check]]&lt;&gt;"OK",
   "",
   T_Channel[[#This Row],[LogFolder]] &amp; "\" &amp; T_Channel[[#This Row],[LogFile]]
)</f>
        <v/>
      </c>
      <c r="W1038" s="20" t="str">
        <f>IF(
   T_Channel[[#This Row],[Safekeeping of logs]]="",
   "",
   VLOOKUP(T_Channel[[#This Row],[Safekeeping of logs]],T_List_LogMode[],2,FALSE)
)</f>
        <v/>
      </c>
      <c r="X1038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039" spans="2:24" x14ac:dyDescent="0.45">
      <c r="B1039" s="7"/>
      <c r="C1039" s="7"/>
      <c r="D1039" s="7"/>
      <c r="E1039" s="7"/>
      <c r="F1039" s="6"/>
      <c r="G1039" s="6"/>
      <c r="H1039" s="6"/>
      <c r="I1039" s="6"/>
      <c r="J1039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039" s="21"/>
      <c r="L1039" s="7"/>
      <c r="M1039" s="41"/>
      <c r="N1039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039" s="26" t="str">
        <f>IF(
   T_Channel[[#This Row],[ProviderName]]="",
   "",
   COUNTIF($N$12:$N$9982,T_Channel[[#This Row],[ProviderName]])
)</f>
        <v/>
      </c>
      <c r="P1039" s="26" t="str">
        <f>IF(
   T_Channel[[#This Row],[Check]]&lt;&gt;"OK",
   "",
   IF(
      T_Channel[[#This Row],[Query]]="",
      "Empty",
      "Defined"
   )
)</f>
        <v/>
      </c>
      <c r="Q1039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039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039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03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039" s="20" t="str">
        <f>IF(
   T_Channel[[#This Row],[Check]]&lt;&gt;"OK",
   "",
   T_Channel[[#This Row],[ChannelSymbol]] &amp; ".evtx"
)</f>
        <v/>
      </c>
      <c r="V1039" s="20" t="str">
        <f>IF(
   T_Channel[[#This Row],[Check]]&lt;&gt;"OK",
   "",
   T_Channel[[#This Row],[LogFolder]] &amp; "\" &amp; T_Channel[[#This Row],[LogFile]]
)</f>
        <v/>
      </c>
      <c r="W1039" s="20" t="str">
        <f>IF(
   T_Channel[[#This Row],[Safekeeping of logs]]="",
   "",
   VLOOKUP(T_Channel[[#This Row],[Safekeeping of logs]],T_List_LogMode[],2,FALSE)
)</f>
        <v/>
      </c>
      <c r="X1039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040" spans="2:24" x14ac:dyDescent="0.45">
      <c r="B1040" s="7"/>
      <c r="C1040" s="7"/>
      <c r="D1040" s="7"/>
      <c r="E1040" s="7"/>
      <c r="F1040" s="6"/>
      <c r="G1040" s="6"/>
      <c r="H1040" s="6"/>
      <c r="I1040" s="6"/>
      <c r="J1040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040" s="21"/>
      <c r="L1040" s="7"/>
      <c r="M1040" s="41"/>
      <c r="N1040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040" s="26" t="str">
        <f>IF(
   T_Channel[[#This Row],[ProviderName]]="",
   "",
   COUNTIF($N$12:$N$9982,T_Channel[[#This Row],[ProviderName]])
)</f>
        <v/>
      </c>
      <c r="P1040" s="26" t="str">
        <f>IF(
   T_Channel[[#This Row],[Check]]&lt;&gt;"OK",
   "",
   IF(
      T_Channel[[#This Row],[Query]]="",
      "Empty",
      "Defined"
   )
)</f>
        <v/>
      </c>
      <c r="Q1040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040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040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04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040" s="20" t="str">
        <f>IF(
   T_Channel[[#This Row],[Check]]&lt;&gt;"OK",
   "",
   T_Channel[[#This Row],[ChannelSymbol]] &amp; ".evtx"
)</f>
        <v/>
      </c>
      <c r="V1040" s="20" t="str">
        <f>IF(
   T_Channel[[#This Row],[Check]]&lt;&gt;"OK",
   "",
   T_Channel[[#This Row],[LogFolder]] &amp; "\" &amp; T_Channel[[#This Row],[LogFile]]
)</f>
        <v/>
      </c>
      <c r="W1040" s="20" t="str">
        <f>IF(
   T_Channel[[#This Row],[Safekeeping of logs]]="",
   "",
   VLOOKUP(T_Channel[[#This Row],[Safekeeping of logs]],T_List_LogMode[],2,FALSE)
)</f>
        <v/>
      </c>
      <c r="X1040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041" spans="2:24" x14ac:dyDescent="0.45">
      <c r="B1041" s="7"/>
      <c r="C1041" s="7"/>
      <c r="D1041" s="7"/>
      <c r="E1041" s="7"/>
      <c r="F1041" s="6"/>
      <c r="G1041" s="6"/>
      <c r="H1041" s="6"/>
      <c r="I1041" s="6"/>
      <c r="J1041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041" s="21"/>
      <c r="L1041" s="7"/>
      <c r="M1041" s="41"/>
      <c r="N1041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041" s="26" t="str">
        <f>IF(
   T_Channel[[#This Row],[ProviderName]]="",
   "",
   COUNTIF($N$12:$N$9982,T_Channel[[#This Row],[ProviderName]])
)</f>
        <v/>
      </c>
      <c r="P1041" s="26" t="str">
        <f>IF(
   T_Channel[[#This Row],[Check]]&lt;&gt;"OK",
   "",
   IF(
      T_Channel[[#This Row],[Query]]="",
      "Empty",
      "Defined"
   )
)</f>
        <v/>
      </c>
      <c r="Q1041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041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041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04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041" s="20" t="str">
        <f>IF(
   T_Channel[[#This Row],[Check]]&lt;&gt;"OK",
   "",
   T_Channel[[#This Row],[ChannelSymbol]] &amp; ".evtx"
)</f>
        <v/>
      </c>
      <c r="V1041" s="20" t="str">
        <f>IF(
   T_Channel[[#This Row],[Check]]&lt;&gt;"OK",
   "",
   T_Channel[[#This Row],[LogFolder]] &amp; "\" &amp; T_Channel[[#This Row],[LogFile]]
)</f>
        <v/>
      </c>
      <c r="W1041" s="20" t="str">
        <f>IF(
   T_Channel[[#This Row],[Safekeeping of logs]]="",
   "",
   VLOOKUP(T_Channel[[#This Row],[Safekeeping of logs]],T_List_LogMode[],2,FALSE)
)</f>
        <v/>
      </c>
      <c r="X1041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042" spans="2:24" x14ac:dyDescent="0.45">
      <c r="B1042" s="7"/>
      <c r="C1042" s="7"/>
      <c r="D1042" s="7"/>
      <c r="E1042" s="7"/>
      <c r="F1042" s="6"/>
      <c r="G1042" s="6"/>
      <c r="H1042" s="6"/>
      <c r="I1042" s="6"/>
      <c r="J1042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042" s="21"/>
      <c r="L1042" s="7"/>
      <c r="M1042" s="41"/>
      <c r="N1042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042" s="26" t="str">
        <f>IF(
   T_Channel[[#This Row],[ProviderName]]="",
   "",
   COUNTIF($N$12:$N$9982,T_Channel[[#This Row],[ProviderName]])
)</f>
        <v/>
      </c>
      <c r="P1042" s="26" t="str">
        <f>IF(
   T_Channel[[#This Row],[Check]]&lt;&gt;"OK",
   "",
   IF(
      T_Channel[[#This Row],[Query]]="",
      "Empty",
      "Defined"
   )
)</f>
        <v/>
      </c>
      <c r="Q1042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042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042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04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042" s="20" t="str">
        <f>IF(
   T_Channel[[#This Row],[Check]]&lt;&gt;"OK",
   "",
   T_Channel[[#This Row],[ChannelSymbol]] &amp; ".evtx"
)</f>
        <v/>
      </c>
      <c r="V1042" s="20" t="str">
        <f>IF(
   T_Channel[[#This Row],[Check]]&lt;&gt;"OK",
   "",
   T_Channel[[#This Row],[LogFolder]] &amp; "\" &amp; T_Channel[[#This Row],[LogFile]]
)</f>
        <v/>
      </c>
      <c r="W1042" s="20" t="str">
        <f>IF(
   T_Channel[[#This Row],[Safekeeping of logs]]="",
   "",
   VLOOKUP(T_Channel[[#This Row],[Safekeeping of logs]],T_List_LogMode[],2,FALSE)
)</f>
        <v/>
      </c>
      <c r="X1042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043" spans="2:24" x14ac:dyDescent="0.45">
      <c r="B1043" s="7"/>
      <c r="C1043" s="7"/>
      <c r="D1043" s="7"/>
      <c r="E1043" s="7"/>
      <c r="F1043" s="6"/>
      <c r="G1043" s="6"/>
      <c r="H1043" s="6"/>
      <c r="I1043" s="6"/>
      <c r="J1043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043" s="21"/>
      <c r="L1043" s="7"/>
      <c r="M1043" s="41"/>
      <c r="N1043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043" s="26" t="str">
        <f>IF(
   T_Channel[[#This Row],[ProviderName]]="",
   "",
   COUNTIF($N$12:$N$9982,T_Channel[[#This Row],[ProviderName]])
)</f>
        <v/>
      </c>
      <c r="P1043" s="26" t="str">
        <f>IF(
   T_Channel[[#This Row],[Check]]&lt;&gt;"OK",
   "",
   IF(
      T_Channel[[#This Row],[Query]]="",
      "Empty",
      "Defined"
   )
)</f>
        <v/>
      </c>
      <c r="Q1043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043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043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04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043" s="20" t="str">
        <f>IF(
   T_Channel[[#This Row],[Check]]&lt;&gt;"OK",
   "",
   T_Channel[[#This Row],[ChannelSymbol]] &amp; ".evtx"
)</f>
        <v/>
      </c>
      <c r="V1043" s="20" t="str">
        <f>IF(
   T_Channel[[#This Row],[Check]]&lt;&gt;"OK",
   "",
   T_Channel[[#This Row],[LogFolder]] &amp; "\" &amp; T_Channel[[#This Row],[LogFile]]
)</f>
        <v/>
      </c>
      <c r="W1043" s="20" t="str">
        <f>IF(
   T_Channel[[#This Row],[Safekeeping of logs]]="",
   "",
   VLOOKUP(T_Channel[[#This Row],[Safekeeping of logs]],T_List_LogMode[],2,FALSE)
)</f>
        <v/>
      </c>
      <c r="X1043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044" spans="2:24" x14ac:dyDescent="0.45">
      <c r="B1044" s="7"/>
      <c r="C1044" s="7"/>
      <c r="D1044" s="7"/>
      <c r="E1044" s="7"/>
      <c r="F1044" s="6"/>
      <c r="G1044" s="6"/>
      <c r="H1044" s="6"/>
      <c r="I1044" s="6"/>
      <c r="J1044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044" s="21"/>
      <c r="L1044" s="7"/>
      <c r="M1044" s="41"/>
      <c r="N1044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044" s="26" t="str">
        <f>IF(
   T_Channel[[#This Row],[ProviderName]]="",
   "",
   COUNTIF($N$12:$N$9982,T_Channel[[#This Row],[ProviderName]])
)</f>
        <v/>
      </c>
      <c r="P1044" s="26" t="str">
        <f>IF(
   T_Channel[[#This Row],[Check]]&lt;&gt;"OK",
   "",
   IF(
      T_Channel[[#This Row],[Query]]="",
      "Empty",
      "Defined"
   )
)</f>
        <v/>
      </c>
      <c r="Q1044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044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044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04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044" s="20" t="str">
        <f>IF(
   T_Channel[[#This Row],[Check]]&lt;&gt;"OK",
   "",
   T_Channel[[#This Row],[ChannelSymbol]] &amp; ".evtx"
)</f>
        <v/>
      </c>
      <c r="V1044" s="20" t="str">
        <f>IF(
   T_Channel[[#This Row],[Check]]&lt;&gt;"OK",
   "",
   T_Channel[[#This Row],[LogFolder]] &amp; "\" &amp; T_Channel[[#This Row],[LogFile]]
)</f>
        <v/>
      </c>
      <c r="W1044" s="20" t="str">
        <f>IF(
   T_Channel[[#This Row],[Safekeeping of logs]]="",
   "",
   VLOOKUP(T_Channel[[#This Row],[Safekeeping of logs]],T_List_LogMode[],2,FALSE)
)</f>
        <v/>
      </c>
      <c r="X1044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045" spans="2:24" x14ac:dyDescent="0.45">
      <c r="B1045" s="7"/>
      <c r="C1045" s="7"/>
      <c r="D1045" s="7"/>
      <c r="E1045" s="7"/>
      <c r="F1045" s="6"/>
      <c r="G1045" s="6"/>
      <c r="H1045" s="6"/>
      <c r="I1045" s="6"/>
      <c r="J1045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045" s="21"/>
      <c r="L1045" s="7"/>
      <c r="M1045" s="41"/>
      <c r="N1045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045" s="26" t="str">
        <f>IF(
   T_Channel[[#This Row],[ProviderName]]="",
   "",
   COUNTIF($N$12:$N$9982,T_Channel[[#This Row],[ProviderName]])
)</f>
        <v/>
      </c>
      <c r="P1045" s="26" t="str">
        <f>IF(
   T_Channel[[#This Row],[Check]]&lt;&gt;"OK",
   "",
   IF(
      T_Channel[[#This Row],[Query]]="",
      "Empty",
      "Defined"
   )
)</f>
        <v/>
      </c>
      <c r="Q1045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045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045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04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045" s="20" t="str">
        <f>IF(
   T_Channel[[#This Row],[Check]]&lt;&gt;"OK",
   "",
   T_Channel[[#This Row],[ChannelSymbol]] &amp; ".evtx"
)</f>
        <v/>
      </c>
      <c r="V1045" s="20" t="str">
        <f>IF(
   T_Channel[[#This Row],[Check]]&lt;&gt;"OK",
   "",
   T_Channel[[#This Row],[LogFolder]] &amp; "\" &amp; T_Channel[[#This Row],[LogFile]]
)</f>
        <v/>
      </c>
      <c r="W1045" s="20" t="str">
        <f>IF(
   T_Channel[[#This Row],[Safekeeping of logs]]="",
   "",
   VLOOKUP(T_Channel[[#This Row],[Safekeeping of logs]],T_List_LogMode[],2,FALSE)
)</f>
        <v/>
      </c>
      <c r="X1045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046" spans="2:24" x14ac:dyDescent="0.45">
      <c r="B1046" s="7"/>
      <c r="C1046" s="7"/>
      <c r="D1046" s="7"/>
      <c r="E1046" s="7"/>
      <c r="F1046" s="6"/>
      <c r="G1046" s="6"/>
      <c r="H1046" s="6"/>
      <c r="I1046" s="6"/>
      <c r="J1046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046" s="21"/>
      <c r="L1046" s="7"/>
      <c r="M1046" s="41"/>
      <c r="N1046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046" s="26" t="str">
        <f>IF(
   T_Channel[[#This Row],[ProviderName]]="",
   "",
   COUNTIF($N$12:$N$9982,T_Channel[[#This Row],[ProviderName]])
)</f>
        <v/>
      </c>
      <c r="P1046" s="26" t="str">
        <f>IF(
   T_Channel[[#This Row],[Check]]&lt;&gt;"OK",
   "",
   IF(
      T_Channel[[#This Row],[Query]]="",
      "Empty",
      "Defined"
   )
)</f>
        <v/>
      </c>
      <c r="Q1046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046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046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04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046" s="20" t="str">
        <f>IF(
   T_Channel[[#This Row],[Check]]&lt;&gt;"OK",
   "",
   T_Channel[[#This Row],[ChannelSymbol]] &amp; ".evtx"
)</f>
        <v/>
      </c>
      <c r="V1046" s="20" t="str">
        <f>IF(
   T_Channel[[#This Row],[Check]]&lt;&gt;"OK",
   "",
   T_Channel[[#This Row],[LogFolder]] &amp; "\" &amp; T_Channel[[#This Row],[LogFile]]
)</f>
        <v/>
      </c>
      <c r="W1046" s="20" t="str">
        <f>IF(
   T_Channel[[#This Row],[Safekeeping of logs]]="",
   "",
   VLOOKUP(T_Channel[[#This Row],[Safekeeping of logs]],T_List_LogMode[],2,FALSE)
)</f>
        <v/>
      </c>
      <c r="X1046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047" spans="2:24" x14ac:dyDescent="0.45">
      <c r="B1047" s="7"/>
      <c r="C1047" s="7"/>
      <c r="D1047" s="7"/>
      <c r="E1047" s="7"/>
      <c r="F1047" s="6"/>
      <c r="G1047" s="6"/>
      <c r="H1047" s="6"/>
      <c r="I1047" s="6"/>
      <c r="J1047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047" s="21"/>
      <c r="L1047" s="7"/>
      <c r="M1047" s="41"/>
      <c r="N1047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047" s="26" t="str">
        <f>IF(
   T_Channel[[#This Row],[ProviderName]]="",
   "",
   COUNTIF($N$12:$N$9982,T_Channel[[#This Row],[ProviderName]])
)</f>
        <v/>
      </c>
      <c r="P1047" s="26" t="str">
        <f>IF(
   T_Channel[[#This Row],[Check]]&lt;&gt;"OK",
   "",
   IF(
      T_Channel[[#This Row],[Query]]="",
      "Empty",
      "Defined"
   )
)</f>
        <v/>
      </c>
      <c r="Q1047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047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047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04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047" s="20" t="str">
        <f>IF(
   T_Channel[[#This Row],[Check]]&lt;&gt;"OK",
   "",
   T_Channel[[#This Row],[ChannelSymbol]] &amp; ".evtx"
)</f>
        <v/>
      </c>
      <c r="V1047" s="20" t="str">
        <f>IF(
   T_Channel[[#This Row],[Check]]&lt;&gt;"OK",
   "",
   T_Channel[[#This Row],[LogFolder]] &amp; "\" &amp; T_Channel[[#This Row],[LogFile]]
)</f>
        <v/>
      </c>
      <c r="W1047" s="20" t="str">
        <f>IF(
   T_Channel[[#This Row],[Safekeeping of logs]]="",
   "",
   VLOOKUP(T_Channel[[#This Row],[Safekeeping of logs]],T_List_LogMode[],2,FALSE)
)</f>
        <v/>
      </c>
      <c r="X1047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048" spans="2:24" x14ac:dyDescent="0.45">
      <c r="B1048" s="7"/>
      <c r="C1048" s="7"/>
      <c r="D1048" s="7"/>
      <c r="E1048" s="7"/>
      <c r="F1048" s="6"/>
      <c r="G1048" s="6"/>
      <c r="H1048" s="6"/>
      <c r="I1048" s="6"/>
      <c r="J1048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048" s="21"/>
      <c r="L1048" s="7"/>
      <c r="M1048" s="41"/>
      <c r="N1048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048" s="26" t="str">
        <f>IF(
   T_Channel[[#This Row],[ProviderName]]="",
   "",
   COUNTIF($N$12:$N$9982,T_Channel[[#This Row],[ProviderName]])
)</f>
        <v/>
      </c>
      <c r="P1048" s="26" t="str">
        <f>IF(
   T_Channel[[#This Row],[Check]]&lt;&gt;"OK",
   "",
   IF(
      T_Channel[[#This Row],[Query]]="",
      "Empty",
      "Defined"
   )
)</f>
        <v/>
      </c>
      <c r="Q1048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048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048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04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048" s="20" t="str">
        <f>IF(
   T_Channel[[#This Row],[Check]]&lt;&gt;"OK",
   "",
   T_Channel[[#This Row],[ChannelSymbol]] &amp; ".evtx"
)</f>
        <v/>
      </c>
      <c r="V1048" s="20" t="str">
        <f>IF(
   T_Channel[[#This Row],[Check]]&lt;&gt;"OK",
   "",
   T_Channel[[#This Row],[LogFolder]] &amp; "\" &amp; T_Channel[[#This Row],[LogFile]]
)</f>
        <v/>
      </c>
      <c r="W1048" s="20" t="str">
        <f>IF(
   T_Channel[[#This Row],[Safekeeping of logs]]="",
   "",
   VLOOKUP(T_Channel[[#This Row],[Safekeeping of logs]],T_List_LogMode[],2,FALSE)
)</f>
        <v/>
      </c>
      <c r="X1048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049" spans="2:24" x14ac:dyDescent="0.45">
      <c r="B1049" s="7"/>
      <c r="C1049" s="7"/>
      <c r="D1049" s="7"/>
      <c r="E1049" s="7"/>
      <c r="F1049" s="6"/>
      <c r="G1049" s="6"/>
      <c r="H1049" s="6"/>
      <c r="I1049" s="6"/>
      <c r="J1049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049" s="21"/>
      <c r="L1049" s="7"/>
      <c r="M1049" s="41"/>
      <c r="N1049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049" s="26" t="str">
        <f>IF(
   T_Channel[[#This Row],[ProviderName]]="",
   "",
   COUNTIF($N$12:$N$9982,T_Channel[[#This Row],[ProviderName]])
)</f>
        <v/>
      </c>
      <c r="P1049" s="26" t="str">
        <f>IF(
   T_Channel[[#This Row],[Check]]&lt;&gt;"OK",
   "",
   IF(
      T_Channel[[#This Row],[Query]]="",
      "Empty",
      "Defined"
   )
)</f>
        <v/>
      </c>
      <c r="Q1049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049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049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04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049" s="20" t="str">
        <f>IF(
   T_Channel[[#This Row],[Check]]&lt;&gt;"OK",
   "",
   T_Channel[[#This Row],[ChannelSymbol]] &amp; ".evtx"
)</f>
        <v/>
      </c>
      <c r="V1049" s="20" t="str">
        <f>IF(
   T_Channel[[#This Row],[Check]]&lt;&gt;"OK",
   "",
   T_Channel[[#This Row],[LogFolder]] &amp; "\" &amp; T_Channel[[#This Row],[LogFile]]
)</f>
        <v/>
      </c>
      <c r="W1049" s="20" t="str">
        <f>IF(
   T_Channel[[#This Row],[Safekeeping of logs]]="",
   "",
   VLOOKUP(T_Channel[[#This Row],[Safekeeping of logs]],T_List_LogMode[],2,FALSE)
)</f>
        <v/>
      </c>
      <c r="X1049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050" spans="2:24" x14ac:dyDescent="0.45">
      <c r="B1050" s="7"/>
      <c r="C1050" s="7"/>
      <c r="D1050" s="7"/>
      <c r="E1050" s="7"/>
      <c r="F1050" s="6"/>
      <c r="G1050" s="6"/>
      <c r="H1050" s="6"/>
      <c r="I1050" s="6"/>
      <c r="J1050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050" s="21"/>
      <c r="L1050" s="7"/>
      <c r="M1050" s="41"/>
      <c r="N1050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050" s="26" t="str">
        <f>IF(
   T_Channel[[#This Row],[ProviderName]]="",
   "",
   COUNTIF($N$12:$N$9982,T_Channel[[#This Row],[ProviderName]])
)</f>
        <v/>
      </c>
      <c r="P1050" s="26" t="str">
        <f>IF(
   T_Channel[[#This Row],[Check]]&lt;&gt;"OK",
   "",
   IF(
      T_Channel[[#This Row],[Query]]="",
      "Empty",
      "Defined"
   )
)</f>
        <v/>
      </c>
      <c r="Q1050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050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050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05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050" s="20" t="str">
        <f>IF(
   T_Channel[[#This Row],[Check]]&lt;&gt;"OK",
   "",
   T_Channel[[#This Row],[ChannelSymbol]] &amp; ".evtx"
)</f>
        <v/>
      </c>
      <c r="V1050" s="20" t="str">
        <f>IF(
   T_Channel[[#This Row],[Check]]&lt;&gt;"OK",
   "",
   T_Channel[[#This Row],[LogFolder]] &amp; "\" &amp; T_Channel[[#This Row],[LogFile]]
)</f>
        <v/>
      </c>
      <c r="W1050" s="20" t="str">
        <f>IF(
   T_Channel[[#This Row],[Safekeeping of logs]]="",
   "",
   VLOOKUP(T_Channel[[#This Row],[Safekeeping of logs]],T_List_LogMode[],2,FALSE)
)</f>
        <v/>
      </c>
      <c r="X1050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051" spans="2:24" x14ac:dyDescent="0.45">
      <c r="B1051" s="7"/>
      <c r="C1051" s="7"/>
      <c r="D1051" s="7"/>
      <c r="E1051" s="7"/>
      <c r="F1051" s="6"/>
      <c r="G1051" s="6"/>
      <c r="H1051" s="6"/>
      <c r="I1051" s="6"/>
      <c r="J1051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051" s="21"/>
      <c r="L1051" s="7"/>
      <c r="M1051" s="41"/>
      <c r="N1051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051" s="26" t="str">
        <f>IF(
   T_Channel[[#This Row],[ProviderName]]="",
   "",
   COUNTIF($N$12:$N$9982,T_Channel[[#This Row],[ProviderName]])
)</f>
        <v/>
      </c>
      <c r="P1051" s="26" t="str">
        <f>IF(
   T_Channel[[#This Row],[Check]]&lt;&gt;"OK",
   "",
   IF(
      T_Channel[[#This Row],[Query]]="",
      "Empty",
      "Defined"
   )
)</f>
        <v/>
      </c>
      <c r="Q1051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051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051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05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051" s="20" t="str">
        <f>IF(
   T_Channel[[#This Row],[Check]]&lt;&gt;"OK",
   "",
   T_Channel[[#This Row],[ChannelSymbol]] &amp; ".evtx"
)</f>
        <v/>
      </c>
      <c r="V1051" s="20" t="str">
        <f>IF(
   T_Channel[[#This Row],[Check]]&lt;&gt;"OK",
   "",
   T_Channel[[#This Row],[LogFolder]] &amp; "\" &amp; T_Channel[[#This Row],[LogFile]]
)</f>
        <v/>
      </c>
      <c r="W1051" s="20" t="str">
        <f>IF(
   T_Channel[[#This Row],[Safekeeping of logs]]="",
   "",
   VLOOKUP(T_Channel[[#This Row],[Safekeeping of logs]],T_List_LogMode[],2,FALSE)
)</f>
        <v/>
      </c>
      <c r="X1051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052" spans="2:24" x14ac:dyDescent="0.45">
      <c r="B1052" s="7"/>
      <c r="C1052" s="7"/>
      <c r="D1052" s="7"/>
      <c r="E1052" s="7"/>
      <c r="F1052" s="6"/>
      <c r="G1052" s="6"/>
      <c r="H1052" s="6"/>
      <c r="I1052" s="6"/>
      <c r="J1052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052" s="21"/>
      <c r="L1052" s="7"/>
      <c r="M1052" s="41"/>
      <c r="N1052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052" s="26" t="str">
        <f>IF(
   T_Channel[[#This Row],[ProviderName]]="",
   "",
   COUNTIF($N$12:$N$9982,T_Channel[[#This Row],[ProviderName]])
)</f>
        <v/>
      </c>
      <c r="P1052" s="26" t="str">
        <f>IF(
   T_Channel[[#This Row],[Check]]&lt;&gt;"OK",
   "",
   IF(
      T_Channel[[#This Row],[Query]]="",
      "Empty",
      "Defined"
   )
)</f>
        <v/>
      </c>
      <c r="Q1052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052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052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05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052" s="20" t="str">
        <f>IF(
   T_Channel[[#This Row],[Check]]&lt;&gt;"OK",
   "",
   T_Channel[[#This Row],[ChannelSymbol]] &amp; ".evtx"
)</f>
        <v/>
      </c>
      <c r="V1052" s="20" t="str">
        <f>IF(
   T_Channel[[#This Row],[Check]]&lt;&gt;"OK",
   "",
   T_Channel[[#This Row],[LogFolder]] &amp; "\" &amp; T_Channel[[#This Row],[LogFile]]
)</f>
        <v/>
      </c>
      <c r="W1052" s="20" t="str">
        <f>IF(
   T_Channel[[#This Row],[Safekeeping of logs]]="",
   "",
   VLOOKUP(T_Channel[[#This Row],[Safekeeping of logs]],T_List_LogMode[],2,FALSE)
)</f>
        <v/>
      </c>
      <c r="X1052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053" spans="2:24" x14ac:dyDescent="0.45">
      <c r="B1053" s="7"/>
      <c r="C1053" s="7"/>
      <c r="D1053" s="7"/>
      <c r="E1053" s="7"/>
      <c r="F1053" s="6"/>
      <c r="G1053" s="6"/>
      <c r="H1053" s="6"/>
      <c r="I1053" s="6"/>
      <c r="J1053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053" s="21"/>
      <c r="L1053" s="7"/>
      <c r="M1053" s="41"/>
      <c r="N1053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053" s="26" t="str">
        <f>IF(
   T_Channel[[#This Row],[ProviderName]]="",
   "",
   COUNTIF($N$12:$N$9982,T_Channel[[#This Row],[ProviderName]])
)</f>
        <v/>
      </c>
      <c r="P1053" s="26" t="str">
        <f>IF(
   T_Channel[[#This Row],[Check]]&lt;&gt;"OK",
   "",
   IF(
      T_Channel[[#This Row],[Query]]="",
      "Empty",
      "Defined"
   )
)</f>
        <v/>
      </c>
      <c r="Q1053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053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053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05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053" s="20" t="str">
        <f>IF(
   T_Channel[[#This Row],[Check]]&lt;&gt;"OK",
   "",
   T_Channel[[#This Row],[ChannelSymbol]] &amp; ".evtx"
)</f>
        <v/>
      </c>
      <c r="V1053" s="20" t="str">
        <f>IF(
   T_Channel[[#This Row],[Check]]&lt;&gt;"OK",
   "",
   T_Channel[[#This Row],[LogFolder]] &amp; "\" &amp; T_Channel[[#This Row],[LogFile]]
)</f>
        <v/>
      </c>
      <c r="W1053" s="20" t="str">
        <f>IF(
   T_Channel[[#This Row],[Safekeeping of logs]]="",
   "",
   VLOOKUP(T_Channel[[#This Row],[Safekeeping of logs]],T_List_LogMode[],2,FALSE)
)</f>
        <v/>
      </c>
      <c r="X1053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054" spans="2:24" x14ac:dyDescent="0.45">
      <c r="B1054" s="7"/>
      <c r="C1054" s="7"/>
      <c r="D1054" s="7"/>
      <c r="E1054" s="7"/>
      <c r="F1054" s="6"/>
      <c r="G1054" s="6"/>
      <c r="H1054" s="6"/>
      <c r="I1054" s="6"/>
      <c r="J1054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054" s="21"/>
      <c r="L1054" s="7"/>
      <c r="M1054" s="41"/>
      <c r="N1054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054" s="26" t="str">
        <f>IF(
   T_Channel[[#This Row],[ProviderName]]="",
   "",
   COUNTIF($N$12:$N$9982,T_Channel[[#This Row],[ProviderName]])
)</f>
        <v/>
      </c>
      <c r="P1054" s="26" t="str">
        <f>IF(
   T_Channel[[#This Row],[Check]]&lt;&gt;"OK",
   "",
   IF(
      T_Channel[[#This Row],[Query]]="",
      "Empty",
      "Defined"
   )
)</f>
        <v/>
      </c>
      <c r="Q1054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054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054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05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054" s="20" t="str">
        <f>IF(
   T_Channel[[#This Row],[Check]]&lt;&gt;"OK",
   "",
   T_Channel[[#This Row],[ChannelSymbol]] &amp; ".evtx"
)</f>
        <v/>
      </c>
      <c r="V1054" s="20" t="str">
        <f>IF(
   T_Channel[[#This Row],[Check]]&lt;&gt;"OK",
   "",
   T_Channel[[#This Row],[LogFolder]] &amp; "\" &amp; T_Channel[[#This Row],[LogFile]]
)</f>
        <v/>
      </c>
      <c r="W1054" s="20" t="str">
        <f>IF(
   T_Channel[[#This Row],[Safekeeping of logs]]="",
   "",
   VLOOKUP(T_Channel[[#This Row],[Safekeeping of logs]],T_List_LogMode[],2,FALSE)
)</f>
        <v/>
      </c>
      <c r="X1054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055" spans="2:24" x14ac:dyDescent="0.45">
      <c r="B1055" s="7"/>
      <c r="C1055" s="7"/>
      <c r="D1055" s="7"/>
      <c r="E1055" s="7"/>
      <c r="F1055" s="6"/>
      <c r="G1055" s="6"/>
      <c r="H1055" s="6"/>
      <c r="I1055" s="6"/>
      <c r="J1055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055" s="21"/>
      <c r="L1055" s="7"/>
      <c r="M1055" s="41"/>
      <c r="N1055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055" s="26" t="str">
        <f>IF(
   T_Channel[[#This Row],[ProviderName]]="",
   "",
   COUNTIF($N$12:$N$9982,T_Channel[[#This Row],[ProviderName]])
)</f>
        <v/>
      </c>
      <c r="P1055" s="26" t="str">
        <f>IF(
   T_Channel[[#This Row],[Check]]&lt;&gt;"OK",
   "",
   IF(
      T_Channel[[#This Row],[Query]]="",
      "Empty",
      "Defined"
   )
)</f>
        <v/>
      </c>
      <c r="Q1055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055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055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05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055" s="20" t="str">
        <f>IF(
   T_Channel[[#This Row],[Check]]&lt;&gt;"OK",
   "",
   T_Channel[[#This Row],[ChannelSymbol]] &amp; ".evtx"
)</f>
        <v/>
      </c>
      <c r="V1055" s="20" t="str">
        <f>IF(
   T_Channel[[#This Row],[Check]]&lt;&gt;"OK",
   "",
   T_Channel[[#This Row],[LogFolder]] &amp; "\" &amp; T_Channel[[#This Row],[LogFile]]
)</f>
        <v/>
      </c>
      <c r="W1055" s="20" t="str">
        <f>IF(
   T_Channel[[#This Row],[Safekeeping of logs]]="",
   "",
   VLOOKUP(T_Channel[[#This Row],[Safekeeping of logs]],T_List_LogMode[],2,FALSE)
)</f>
        <v/>
      </c>
      <c r="X1055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056" spans="2:24" x14ac:dyDescent="0.45">
      <c r="B1056" s="7"/>
      <c r="C1056" s="7"/>
      <c r="D1056" s="7"/>
      <c r="E1056" s="7"/>
      <c r="F1056" s="6"/>
      <c r="G1056" s="6"/>
      <c r="H1056" s="6"/>
      <c r="I1056" s="6"/>
      <c r="J1056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056" s="21"/>
      <c r="L1056" s="7"/>
      <c r="M1056" s="41"/>
      <c r="N1056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056" s="26" t="str">
        <f>IF(
   T_Channel[[#This Row],[ProviderName]]="",
   "",
   COUNTIF($N$12:$N$9982,T_Channel[[#This Row],[ProviderName]])
)</f>
        <v/>
      </c>
      <c r="P1056" s="26" t="str">
        <f>IF(
   T_Channel[[#This Row],[Check]]&lt;&gt;"OK",
   "",
   IF(
      T_Channel[[#This Row],[Query]]="",
      "Empty",
      "Defined"
   )
)</f>
        <v/>
      </c>
      <c r="Q1056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056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056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05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056" s="20" t="str">
        <f>IF(
   T_Channel[[#This Row],[Check]]&lt;&gt;"OK",
   "",
   T_Channel[[#This Row],[ChannelSymbol]] &amp; ".evtx"
)</f>
        <v/>
      </c>
      <c r="V1056" s="20" t="str">
        <f>IF(
   T_Channel[[#This Row],[Check]]&lt;&gt;"OK",
   "",
   T_Channel[[#This Row],[LogFolder]] &amp; "\" &amp; T_Channel[[#This Row],[LogFile]]
)</f>
        <v/>
      </c>
      <c r="W1056" s="20" t="str">
        <f>IF(
   T_Channel[[#This Row],[Safekeeping of logs]]="",
   "",
   VLOOKUP(T_Channel[[#This Row],[Safekeeping of logs]],T_List_LogMode[],2,FALSE)
)</f>
        <v/>
      </c>
      <c r="X1056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057" spans="2:24" x14ac:dyDescent="0.45">
      <c r="B1057" s="7"/>
      <c r="C1057" s="7"/>
      <c r="D1057" s="7"/>
      <c r="E1057" s="7"/>
      <c r="F1057" s="6"/>
      <c r="G1057" s="6"/>
      <c r="H1057" s="6"/>
      <c r="I1057" s="6"/>
      <c r="J1057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057" s="21"/>
      <c r="L1057" s="7"/>
      <c r="M1057" s="41"/>
      <c r="N1057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057" s="26" t="str">
        <f>IF(
   T_Channel[[#This Row],[ProviderName]]="",
   "",
   COUNTIF($N$12:$N$9982,T_Channel[[#This Row],[ProviderName]])
)</f>
        <v/>
      </c>
      <c r="P1057" s="26" t="str">
        <f>IF(
   T_Channel[[#This Row],[Check]]&lt;&gt;"OK",
   "",
   IF(
      T_Channel[[#This Row],[Query]]="",
      "Empty",
      "Defined"
   )
)</f>
        <v/>
      </c>
      <c r="Q1057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057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057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05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057" s="20" t="str">
        <f>IF(
   T_Channel[[#This Row],[Check]]&lt;&gt;"OK",
   "",
   T_Channel[[#This Row],[ChannelSymbol]] &amp; ".evtx"
)</f>
        <v/>
      </c>
      <c r="V1057" s="20" t="str">
        <f>IF(
   T_Channel[[#This Row],[Check]]&lt;&gt;"OK",
   "",
   T_Channel[[#This Row],[LogFolder]] &amp; "\" &amp; T_Channel[[#This Row],[LogFile]]
)</f>
        <v/>
      </c>
      <c r="W1057" s="20" t="str">
        <f>IF(
   T_Channel[[#This Row],[Safekeeping of logs]]="",
   "",
   VLOOKUP(T_Channel[[#This Row],[Safekeeping of logs]],T_List_LogMode[],2,FALSE)
)</f>
        <v/>
      </c>
      <c r="X1057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058" spans="2:24" x14ac:dyDescent="0.45">
      <c r="B1058" s="7"/>
      <c r="C1058" s="7"/>
      <c r="D1058" s="7"/>
      <c r="E1058" s="7"/>
      <c r="F1058" s="6"/>
      <c r="G1058" s="6"/>
      <c r="H1058" s="6"/>
      <c r="I1058" s="6"/>
      <c r="J1058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058" s="21"/>
      <c r="L1058" s="7"/>
      <c r="M1058" s="41"/>
      <c r="N1058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058" s="26" t="str">
        <f>IF(
   T_Channel[[#This Row],[ProviderName]]="",
   "",
   COUNTIF($N$12:$N$9982,T_Channel[[#This Row],[ProviderName]])
)</f>
        <v/>
      </c>
      <c r="P1058" s="26" t="str">
        <f>IF(
   T_Channel[[#This Row],[Check]]&lt;&gt;"OK",
   "",
   IF(
      T_Channel[[#This Row],[Query]]="",
      "Empty",
      "Defined"
   )
)</f>
        <v/>
      </c>
      <c r="Q1058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058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058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05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058" s="20" t="str">
        <f>IF(
   T_Channel[[#This Row],[Check]]&lt;&gt;"OK",
   "",
   T_Channel[[#This Row],[ChannelSymbol]] &amp; ".evtx"
)</f>
        <v/>
      </c>
      <c r="V1058" s="20" t="str">
        <f>IF(
   T_Channel[[#This Row],[Check]]&lt;&gt;"OK",
   "",
   T_Channel[[#This Row],[LogFolder]] &amp; "\" &amp; T_Channel[[#This Row],[LogFile]]
)</f>
        <v/>
      </c>
      <c r="W1058" s="20" t="str">
        <f>IF(
   T_Channel[[#This Row],[Safekeeping of logs]]="",
   "",
   VLOOKUP(T_Channel[[#This Row],[Safekeeping of logs]],T_List_LogMode[],2,FALSE)
)</f>
        <v/>
      </c>
      <c r="X1058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059" spans="2:24" x14ac:dyDescent="0.45">
      <c r="B1059" s="7"/>
      <c r="C1059" s="7"/>
      <c r="D1059" s="7"/>
      <c r="E1059" s="7"/>
      <c r="F1059" s="6"/>
      <c r="G1059" s="6"/>
      <c r="H1059" s="6"/>
      <c r="I1059" s="6"/>
      <c r="J1059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059" s="21"/>
      <c r="L1059" s="7"/>
      <c r="M1059" s="41"/>
      <c r="N1059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059" s="26" t="str">
        <f>IF(
   T_Channel[[#This Row],[ProviderName]]="",
   "",
   COUNTIF($N$12:$N$9982,T_Channel[[#This Row],[ProviderName]])
)</f>
        <v/>
      </c>
      <c r="P1059" s="26" t="str">
        <f>IF(
   T_Channel[[#This Row],[Check]]&lt;&gt;"OK",
   "",
   IF(
      T_Channel[[#This Row],[Query]]="",
      "Empty",
      "Defined"
   )
)</f>
        <v/>
      </c>
      <c r="Q1059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059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059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05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059" s="20" t="str">
        <f>IF(
   T_Channel[[#This Row],[Check]]&lt;&gt;"OK",
   "",
   T_Channel[[#This Row],[ChannelSymbol]] &amp; ".evtx"
)</f>
        <v/>
      </c>
      <c r="V1059" s="20" t="str">
        <f>IF(
   T_Channel[[#This Row],[Check]]&lt;&gt;"OK",
   "",
   T_Channel[[#This Row],[LogFolder]] &amp; "\" &amp; T_Channel[[#This Row],[LogFile]]
)</f>
        <v/>
      </c>
      <c r="W1059" s="20" t="str">
        <f>IF(
   T_Channel[[#This Row],[Safekeeping of logs]]="",
   "",
   VLOOKUP(T_Channel[[#This Row],[Safekeeping of logs]],T_List_LogMode[],2,FALSE)
)</f>
        <v/>
      </c>
      <c r="X1059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060" spans="2:24" x14ac:dyDescent="0.45">
      <c r="B1060" s="7"/>
      <c r="C1060" s="7"/>
      <c r="D1060" s="7"/>
      <c r="E1060" s="7"/>
      <c r="F1060" s="6"/>
      <c r="G1060" s="6"/>
      <c r="H1060" s="6"/>
      <c r="I1060" s="6"/>
      <c r="J1060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060" s="21"/>
      <c r="L1060" s="7"/>
      <c r="M1060" s="41"/>
      <c r="N1060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060" s="26" t="str">
        <f>IF(
   T_Channel[[#This Row],[ProviderName]]="",
   "",
   COUNTIF($N$12:$N$9982,T_Channel[[#This Row],[ProviderName]])
)</f>
        <v/>
      </c>
      <c r="P1060" s="26" t="str">
        <f>IF(
   T_Channel[[#This Row],[Check]]&lt;&gt;"OK",
   "",
   IF(
      T_Channel[[#This Row],[Query]]="",
      "Empty",
      "Defined"
   )
)</f>
        <v/>
      </c>
      <c r="Q1060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060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060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06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060" s="20" t="str">
        <f>IF(
   T_Channel[[#This Row],[Check]]&lt;&gt;"OK",
   "",
   T_Channel[[#This Row],[ChannelSymbol]] &amp; ".evtx"
)</f>
        <v/>
      </c>
      <c r="V1060" s="20" t="str">
        <f>IF(
   T_Channel[[#This Row],[Check]]&lt;&gt;"OK",
   "",
   T_Channel[[#This Row],[LogFolder]] &amp; "\" &amp; T_Channel[[#This Row],[LogFile]]
)</f>
        <v/>
      </c>
      <c r="W1060" s="20" t="str">
        <f>IF(
   T_Channel[[#This Row],[Safekeeping of logs]]="",
   "",
   VLOOKUP(T_Channel[[#This Row],[Safekeeping of logs]],T_List_LogMode[],2,FALSE)
)</f>
        <v/>
      </c>
      <c r="X1060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061" spans="2:24" x14ac:dyDescent="0.45">
      <c r="B1061" s="7"/>
      <c r="C1061" s="7"/>
      <c r="D1061" s="7"/>
      <c r="E1061" s="7"/>
      <c r="F1061" s="6"/>
      <c r="G1061" s="6"/>
      <c r="H1061" s="6"/>
      <c r="I1061" s="6"/>
      <c r="J1061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061" s="21"/>
      <c r="L1061" s="7"/>
      <c r="M1061" s="41"/>
      <c r="N1061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061" s="26" t="str">
        <f>IF(
   T_Channel[[#This Row],[ProviderName]]="",
   "",
   COUNTIF($N$12:$N$9982,T_Channel[[#This Row],[ProviderName]])
)</f>
        <v/>
      </c>
      <c r="P1061" s="26" t="str">
        <f>IF(
   T_Channel[[#This Row],[Check]]&lt;&gt;"OK",
   "",
   IF(
      T_Channel[[#This Row],[Query]]="",
      "Empty",
      "Defined"
   )
)</f>
        <v/>
      </c>
      <c r="Q1061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061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061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06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061" s="20" t="str">
        <f>IF(
   T_Channel[[#This Row],[Check]]&lt;&gt;"OK",
   "",
   T_Channel[[#This Row],[ChannelSymbol]] &amp; ".evtx"
)</f>
        <v/>
      </c>
      <c r="V1061" s="20" t="str">
        <f>IF(
   T_Channel[[#This Row],[Check]]&lt;&gt;"OK",
   "",
   T_Channel[[#This Row],[LogFolder]] &amp; "\" &amp; T_Channel[[#This Row],[LogFile]]
)</f>
        <v/>
      </c>
      <c r="W1061" s="20" t="str">
        <f>IF(
   T_Channel[[#This Row],[Safekeeping of logs]]="",
   "",
   VLOOKUP(T_Channel[[#This Row],[Safekeeping of logs]],T_List_LogMode[],2,FALSE)
)</f>
        <v/>
      </c>
      <c r="X1061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062" spans="2:24" x14ac:dyDescent="0.45">
      <c r="B1062" s="7"/>
      <c r="C1062" s="7"/>
      <c r="D1062" s="7"/>
      <c r="E1062" s="7"/>
      <c r="F1062" s="6"/>
      <c r="G1062" s="6"/>
      <c r="H1062" s="6"/>
      <c r="I1062" s="6"/>
      <c r="J1062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062" s="21"/>
      <c r="L1062" s="7"/>
      <c r="M1062" s="41"/>
      <c r="N1062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062" s="26" t="str">
        <f>IF(
   T_Channel[[#This Row],[ProviderName]]="",
   "",
   COUNTIF($N$12:$N$9982,T_Channel[[#This Row],[ProviderName]])
)</f>
        <v/>
      </c>
      <c r="P1062" s="26" t="str">
        <f>IF(
   T_Channel[[#This Row],[Check]]&lt;&gt;"OK",
   "",
   IF(
      T_Channel[[#This Row],[Query]]="",
      "Empty",
      "Defined"
   )
)</f>
        <v/>
      </c>
      <c r="Q1062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062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062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06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062" s="20" t="str">
        <f>IF(
   T_Channel[[#This Row],[Check]]&lt;&gt;"OK",
   "",
   T_Channel[[#This Row],[ChannelSymbol]] &amp; ".evtx"
)</f>
        <v/>
      </c>
      <c r="V1062" s="20" t="str">
        <f>IF(
   T_Channel[[#This Row],[Check]]&lt;&gt;"OK",
   "",
   T_Channel[[#This Row],[LogFolder]] &amp; "\" &amp; T_Channel[[#This Row],[LogFile]]
)</f>
        <v/>
      </c>
      <c r="W1062" s="20" t="str">
        <f>IF(
   T_Channel[[#This Row],[Safekeeping of logs]]="",
   "",
   VLOOKUP(T_Channel[[#This Row],[Safekeeping of logs]],T_List_LogMode[],2,FALSE)
)</f>
        <v/>
      </c>
      <c r="X1062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063" spans="2:24" x14ac:dyDescent="0.45">
      <c r="B1063" s="7"/>
      <c r="C1063" s="7"/>
      <c r="D1063" s="7"/>
      <c r="E1063" s="7"/>
      <c r="F1063" s="6"/>
      <c r="G1063" s="6"/>
      <c r="H1063" s="6"/>
      <c r="I1063" s="6"/>
      <c r="J1063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063" s="21"/>
      <c r="L1063" s="7"/>
      <c r="M1063" s="41"/>
      <c r="N1063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063" s="26" t="str">
        <f>IF(
   T_Channel[[#This Row],[ProviderName]]="",
   "",
   COUNTIF($N$12:$N$9982,T_Channel[[#This Row],[ProviderName]])
)</f>
        <v/>
      </c>
      <c r="P1063" s="26" t="str">
        <f>IF(
   T_Channel[[#This Row],[Check]]&lt;&gt;"OK",
   "",
   IF(
      T_Channel[[#This Row],[Query]]="",
      "Empty",
      "Defined"
   )
)</f>
        <v/>
      </c>
      <c r="Q1063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063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063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06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063" s="20" t="str">
        <f>IF(
   T_Channel[[#This Row],[Check]]&lt;&gt;"OK",
   "",
   T_Channel[[#This Row],[ChannelSymbol]] &amp; ".evtx"
)</f>
        <v/>
      </c>
      <c r="V1063" s="20" t="str">
        <f>IF(
   T_Channel[[#This Row],[Check]]&lt;&gt;"OK",
   "",
   T_Channel[[#This Row],[LogFolder]] &amp; "\" &amp; T_Channel[[#This Row],[LogFile]]
)</f>
        <v/>
      </c>
      <c r="W1063" s="20" t="str">
        <f>IF(
   T_Channel[[#This Row],[Safekeeping of logs]]="",
   "",
   VLOOKUP(T_Channel[[#This Row],[Safekeeping of logs]],T_List_LogMode[],2,FALSE)
)</f>
        <v/>
      </c>
      <c r="X1063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064" spans="2:24" x14ac:dyDescent="0.45">
      <c r="B1064" s="7"/>
      <c r="C1064" s="7"/>
      <c r="D1064" s="7"/>
      <c r="E1064" s="7"/>
      <c r="F1064" s="6"/>
      <c r="G1064" s="6"/>
      <c r="H1064" s="6"/>
      <c r="I1064" s="6"/>
      <c r="J1064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064" s="21"/>
      <c r="L1064" s="7"/>
      <c r="M1064" s="41"/>
      <c r="N1064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064" s="26" t="str">
        <f>IF(
   T_Channel[[#This Row],[ProviderName]]="",
   "",
   COUNTIF($N$12:$N$9982,T_Channel[[#This Row],[ProviderName]])
)</f>
        <v/>
      </c>
      <c r="P1064" s="26" t="str">
        <f>IF(
   T_Channel[[#This Row],[Check]]&lt;&gt;"OK",
   "",
   IF(
      T_Channel[[#This Row],[Query]]="",
      "Empty",
      "Defined"
   )
)</f>
        <v/>
      </c>
      <c r="Q1064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064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064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06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064" s="20" t="str">
        <f>IF(
   T_Channel[[#This Row],[Check]]&lt;&gt;"OK",
   "",
   T_Channel[[#This Row],[ChannelSymbol]] &amp; ".evtx"
)</f>
        <v/>
      </c>
      <c r="V1064" s="20" t="str">
        <f>IF(
   T_Channel[[#This Row],[Check]]&lt;&gt;"OK",
   "",
   T_Channel[[#This Row],[LogFolder]] &amp; "\" &amp; T_Channel[[#This Row],[LogFile]]
)</f>
        <v/>
      </c>
      <c r="W1064" s="20" t="str">
        <f>IF(
   T_Channel[[#This Row],[Safekeeping of logs]]="",
   "",
   VLOOKUP(T_Channel[[#This Row],[Safekeeping of logs]],T_List_LogMode[],2,FALSE)
)</f>
        <v/>
      </c>
      <c r="X1064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065" spans="2:24" x14ac:dyDescent="0.45">
      <c r="B1065" s="7"/>
      <c r="C1065" s="7"/>
      <c r="D1065" s="7"/>
      <c r="E1065" s="7"/>
      <c r="F1065" s="6"/>
      <c r="G1065" s="6"/>
      <c r="H1065" s="6"/>
      <c r="I1065" s="6"/>
      <c r="J1065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065" s="21"/>
      <c r="L1065" s="7"/>
      <c r="M1065" s="41"/>
      <c r="N1065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065" s="26" t="str">
        <f>IF(
   T_Channel[[#This Row],[ProviderName]]="",
   "",
   COUNTIF($N$12:$N$9982,T_Channel[[#This Row],[ProviderName]])
)</f>
        <v/>
      </c>
      <c r="P1065" s="26" t="str">
        <f>IF(
   T_Channel[[#This Row],[Check]]&lt;&gt;"OK",
   "",
   IF(
      T_Channel[[#This Row],[Query]]="",
      "Empty",
      "Defined"
   )
)</f>
        <v/>
      </c>
      <c r="Q1065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065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065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06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065" s="20" t="str">
        <f>IF(
   T_Channel[[#This Row],[Check]]&lt;&gt;"OK",
   "",
   T_Channel[[#This Row],[ChannelSymbol]] &amp; ".evtx"
)</f>
        <v/>
      </c>
      <c r="V1065" s="20" t="str">
        <f>IF(
   T_Channel[[#This Row],[Check]]&lt;&gt;"OK",
   "",
   T_Channel[[#This Row],[LogFolder]] &amp; "\" &amp; T_Channel[[#This Row],[LogFile]]
)</f>
        <v/>
      </c>
      <c r="W1065" s="20" t="str">
        <f>IF(
   T_Channel[[#This Row],[Safekeeping of logs]]="",
   "",
   VLOOKUP(T_Channel[[#This Row],[Safekeeping of logs]],T_List_LogMode[],2,FALSE)
)</f>
        <v/>
      </c>
      <c r="X1065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066" spans="2:24" x14ac:dyDescent="0.45">
      <c r="B1066" s="7"/>
      <c r="C1066" s="7"/>
      <c r="D1066" s="7"/>
      <c r="E1066" s="7"/>
      <c r="F1066" s="6"/>
      <c r="G1066" s="6"/>
      <c r="H1066" s="6"/>
      <c r="I1066" s="6"/>
      <c r="J1066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066" s="21"/>
      <c r="L1066" s="7"/>
      <c r="M1066" s="41"/>
      <c r="N1066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066" s="26" t="str">
        <f>IF(
   T_Channel[[#This Row],[ProviderName]]="",
   "",
   COUNTIF($N$12:$N$9982,T_Channel[[#This Row],[ProviderName]])
)</f>
        <v/>
      </c>
      <c r="P1066" s="26" t="str">
        <f>IF(
   T_Channel[[#This Row],[Check]]&lt;&gt;"OK",
   "",
   IF(
      T_Channel[[#This Row],[Query]]="",
      "Empty",
      "Defined"
   )
)</f>
        <v/>
      </c>
      <c r="Q1066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066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066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06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066" s="20" t="str">
        <f>IF(
   T_Channel[[#This Row],[Check]]&lt;&gt;"OK",
   "",
   T_Channel[[#This Row],[ChannelSymbol]] &amp; ".evtx"
)</f>
        <v/>
      </c>
      <c r="V1066" s="20" t="str">
        <f>IF(
   T_Channel[[#This Row],[Check]]&lt;&gt;"OK",
   "",
   T_Channel[[#This Row],[LogFolder]] &amp; "\" &amp; T_Channel[[#This Row],[LogFile]]
)</f>
        <v/>
      </c>
      <c r="W1066" s="20" t="str">
        <f>IF(
   T_Channel[[#This Row],[Safekeeping of logs]]="",
   "",
   VLOOKUP(T_Channel[[#This Row],[Safekeeping of logs]],T_List_LogMode[],2,FALSE)
)</f>
        <v/>
      </c>
      <c r="X1066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067" spans="2:24" x14ac:dyDescent="0.45">
      <c r="B1067" s="7"/>
      <c r="C1067" s="7"/>
      <c r="D1067" s="7"/>
      <c r="E1067" s="7"/>
      <c r="F1067" s="6"/>
      <c r="G1067" s="6"/>
      <c r="H1067" s="6"/>
      <c r="I1067" s="6"/>
      <c r="J1067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067" s="21"/>
      <c r="L1067" s="7"/>
      <c r="M1067" s="41"/>
      <c r="N1067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067" s="26" t="str">
        <f>IF(
   T_Channel[[#This Row],[ProviderName]]="",
   "",
   COUNTIF($N$12:$N$9982,T_Channel[[#This Row],[ProviderName]])
)</f>
        <v/>
      </c>
      <c r="P1067" s="26" t="str">
        <f>IF(
   T_Channel[[#This Row],[Check]]&lt;&gt;"OK",
   "",
   IF(
      T_Channel[[#This Row],[Query]]="",
      "Empty",
      "Defined"
   )
)</f>
        <v/>
      </c>
      <c r="Q1067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067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067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06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067" s="20" t="str">
        <f>IF(
   T_Channel[[#This Row],[Check]]&lt;&gt;"OK",
   "",
   T_Channel[[#This Row],[ChannelSymbol]] &amp; ".evtx"
)</f>
        <v/>
      </c>
      <c r="V1067" s="20" t="str">
        <f>IF(
   T_Channel[[#This Row],[Check]]&lt;&gt;"OK",
   "",
   T_Channel[[#This Row],[LogFolder]] &amp; "\" &amp; T_Channel[[#This Row],[LogFile]]
)</f>
        <v/>
      </c>
      <c r="W1067" s="20" t="str">
        <f>IF(
   T_Channel[[#This Row],[Safekeeping of logs]]="",
   "",
   VLOOKUP(T_Channel[[#This Row],[Safekeeping of logs]],T_List_LogMode[],2,FALSE)
)</f>
        <v/>
      </c>
      <c r="X1067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068" spans="2:24" x14ac:dyDescent="0.45">
      <c r="B1068" s="7"/>
      <c r="C1068" s="7"/>
      <c r="D1068" s="7"/>
      <c r="E1068" s="7"/>
      <c r="F1068" s="6"/>
      <c r="G1068" s="6"/>
      <c r="H1068" s="6"/>
      <c r="I1068" s="6"/>
      <c r="J1068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068" s="21"/>
      <c r="L1068" s="7"/>
      <c r="M1068" s="41"/>
      <c r="N1068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068" s="26" t="str">
        <f>IF(
   T_Channel[[#This Row],[ProviderName]]="",
   "",
   COUNTIF($N$12:$N$9982,T_Channel[[#This Row],[ProviderName]])
)</f>
        <v/>
      </c>
      <c r="P1068" s="26" t="str">
        <f>IF(
   T_Channel[[#This Row],[Check]]&lt;&gt;"OK",
   "",
   IF(
      T_Channel[[#This Row],[Query]]="",
      "Empty",
      "Defined"
   )
)</f>
        <v/>
      </c>
      <c r="Q1068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068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068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06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068" s="20" t="str">
        <f>IF(
   T_Channel[[#This Row],[Check]]&lt;&gt;"OK",
   "",
   T_Channel[[#This Row],[ChannelSymbol]] &amp; ".evtx"
)</f>
        <v/>
      </c>
      <c r="V1068" s="20" t="str">
        <f>IF(
   T_Channel[[#This Row],[Check]]&lt;&gt;"OK",
   "",
   T_Channel[[#This Row],[LogFolder]] &amp; "\" &amp; T_Channel[[#This Row],[LogFile]]
)</f>
        <v/>
      </c>
      <c r="W1068" s="20" t="str">
        <f>IF(
   T_Channel[[#This Row],[Safekeeping of logs]]="",
   "",
   VLOOKUP(T_Channel[[#This Row],[Safekeeping of logs]],T_List_LogMode[],2,FALSE)
)</f>
        <v/>
      </c>
      <c r="X1068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069" spans="2:24" x14ac:dyDescent="0.45">
      <c r="B1069" s="7"/>
      <c r="C1069" s="7"/>
      <c r="D1069" s="7"/>
      <c r="E1069" s="7"/>
      <c r="F1069" s="6"/>
      <c r="G1069" s="6"/>
      <c r="H1069" s="6"/>
      <c r="I1069" s="6"/>
      <c r="J1069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069" s="21"/>
      <c r="L1069" s="7"/>
      <c r="M1069" s="41"/>
      <c r="N1069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069" s="26" t="str">
        <f>IF(
   T_Channel[[#This Row],[ProviderName]]="",
   "",
   COUNTIF($N$12:$N$9982,T_Channel[[#This Row],[ProviderName]])
)</f>
        <v/>
      </c>
      <c r="P1069" s="26" t="str">
        <f>IF(
   T_Channel[[#This Row],[Check]]&lt;&gt;"OK",
   "",
   IF(
      T_Channel[[#This Row],[Query]]="",
      "Empty",
      "Defined"
   )
)</f>
        <v/>
      </c>
      <c r="Q1069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069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069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06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069" s="20" t="str">
        <f>IF(
   T_Channel[[#This Row],[Check]]&lt;&gt;"OK",
   "",
   T_Channel[[#This Row],[ChannelSymbol]] &amp; ".evtx"
)</f>
        <v/>
      </c>
      <c r="V1069" s="20" t="str">
        <f>IF(
   T_Channel[[#This Row],[Check]]&lt;&gt;"OK",
   "",
   T_Channel[[#This Row],[LogFolder]] &amp; "\" &amp; T_Channel[[#This Row],[LogFile]]
)</f>
        <v/>
      </c>
      <c r="W1069" s="20" t="str">
        <f>IF(
   T_Channel[[#This Row],[Safekeeping of logs]]="",
   "",
   VLOOKUP(T_Channel[[#This Row],[Safekeeping of logs]],T_List_LogMode[],2,FALSE)
)</f>
        <v/>
      </c>
      <c r="X1069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070" spans="2:24" x14ac:dyDescent="0.45">
      <c r="B1070" s="7"/>
      <c r="C1070" s="7"/>
      <c r="D1070" s="7"/>
      <c r="E1070" s="7"/>
      <c r="F1070" s="6"/>
      <c r="G1070" s="6"/>
      <c r="H1070" s="6"/>
      <c r="I1070" s="6"/>
      <c r="J1070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070" s="21"/>
      <c r="L1070" s="7"/>
      <c r="M1070" s="41"/>
      <c r="N1070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070" s="26" t="str">
        <f>IF(
   T_Channel[[#This Row],[ProviderName]]="",
   "",
   COUNTIF($N$12:$N$9982,T_Channel[[#This Row],[ProviderName]])
)</f>
        <v/>
      </c>
      <c r="P1070" s="26" t="str">
        <f>IF(
   T_Channel[[#This Row],[Check]]&lt;&gt;"OK",
   "",
   IF(
      T_Channel[[#This Row],[Query]]="",
      "Empty",
      "Defined"
   )
)</f>
        <v/>
      </c>
      <c r="Q1070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070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070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07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070" s="20" t="str">
        <f>IF(
   T_Channel[[#This Row],[Check]]&lt;&gt;"OK",
   "",
   T_Channel[[#This Row],[ChannelSymbol]] &amp; ".evtx"
)</f>
        <v/>
      </c>
      <c r="V1070" s="20" t="str">
        <f>IF(
   T_Channel[[#This Row],[Check]]&lt;&gt;"OK",
   "",
   T_Channel[[#This Row],[LogFolder]] &amp; "\" &amp; T_Channel[[#This Row],[LogFile]]
)</f>
        <v/>
      </c>
      <c r="W1070" s="20" t="str">
        <f>IF(
   T_Channel[[#This Row],[Safekeeping of logs]]="",
   "",
   VLOOKUP(T_Channel[[#This Row],[Safekeeping of logs]],T_List_LogMode[],2,FALSE)
)</f>
        <v/>
      </c>
      <c r="X1070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071" spans="2:24" x14ac:dyDescent="0.45">
      <c r="B1071" s="7"/>
      <c r="C1071" s="7"/>
      <c r="D1071" s="7"/>
      <c r="E1071" s="7"/>
      <c r="F1071" s="6"/>
      <c r="G1071" s="6"/>
      <c r="H1071" s="6"/>
      <c r="I1071" s="6"/>
      <c r="J1071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071" s="21"/>
      <c r="L1071" s="7"/>
      <c r="M1071" s="41"/>
      <c r="N1071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071" s="26" t="str">
        <f>IF(
   T_Channel[[#This Row],[ProviderName]]="",
   "",
   COUNTIF($N$12:$N$9982,T_Channel[[#This Row],[ProviderName]])
)</f>
        <v/>
      </c>
      <c r="P1071" s="26" t="str">
        <f>IF(
   T_Channel[[#This Row],[Check]]&lt;&gt;"OK",
   "",
   IF(
      T_Channel[[#This Row],[Query]]="",
      "Empty",
      "Defined"
   )
)</f>
        <v/>
      </c>
      <c r="Q1071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071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071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07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071" s="20" t="str">
        <f>IF(
   T_Channel[[#This Row],[Check]]&lt;&gt;"OK",
   "",
   T_Channel[[#This Row],[ChannelSymbol]] &amp; ".evtx"
)</f>
        <v/>
      </c>
      <c r="V1071" s="20" t="str">
        <f>IF(
   T_Channel[[#This Row],[Check]]&lt;&gt;"OK",
   "",
   T_Channel[[#This Row],[LogFolder]] &amp; "\" &amp; T_Channel[[#This Row],[LogFile]]
)</f>
        <v/>
      </c>
      <c r="W1071" s="20" t="str">
        <f>IF(
   T_Channel[[#This Row],[Safekeeping of logs]]="",
   "",
   VLOOKUP(T_Channel[[#This Row],[Safekeeping of logs]],T_List_LogMode[],2,FALSE)
)</f>
        <v/>
      </c>
      <c r="X1071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072" spans="2:24" x14ac:dyDescent="0.45">
      <c r="B1072" s="7"/>
      <c r="C1072" s="7"/>
      <c r="D1072" s="7"/>
      <c r="E1072" s="7"/>
      <c r="F1072" s="6"/>
      <c r="G1072" s="6"/>
      <c r="H1072" s="6"/>
      <c r="I1072" s="6"/>
      <c r="J1072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072" s="21"/>
      <c r="L1072" s="7"/>
      <c r="M1072" s="41"/>
      <c r="N1072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072" s="26" t="str">
        <f>IF(
   T_Channel[[#This Row],[ProviderName]]="",
   "",
   COUNTIF($N$12:$N$9982,T_Channel[[#This Row],[ProviderName]])
)</f>
        <v/>
      </c>
      <c r="P1072" s="26" t="str">
        <f>IF(
   T_Channel[[#This Row],[Check]]&lt;&gt;"OK",
   "",
   IF(
      T_Channel[[#This Row],[Query]]="",
      "Empty",
      "Defined"
   )
)</f>
        <v/>
      </c>
      <c r="Q1072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072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072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07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072" s="20" t="str">
        <f>IF(
   T_Channel[[#This Row],[Check]]&lt;&gt;"OK",
   "",
   T_Channel[[#This Row],[ChannelSymbol]] &amp; ".evtx"
)</f>
        <v/>
      </c>
      <c r="V1072" s="20" t="str">
        <f>IF(
   T_Channel[[#This Row],[Check]]&lt;&gt;"OK",
   "",
   T_Channel[[#This Row],[LogFolder]] &amp; "\" &amp; T_Channel[[#This Row],[LogFile]]
)</f>
        <v/>
      </c>
      <c r="W1072" s="20" t="str">
        <f>IF(
   T_Channel[[#This Row],[Safekeeping of logs]]="",
   "",
   VLOOKUP(T_Channel[[#This Row],[Safekeeping of logs]],T_List_LogMode[],2,FALSE)
)</f>
        <v/>
      </c>
      <c r="X1072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073" spans="2:24" x14ac:dyDescent="0.45">
      <c r="B1073" s="7"/>
      <c r="C1073" s="7"/>
      <c r="D1073" s="7"/>
      <c r="E1073" s="7"/>
      <c r="F1073" s="6"/>
      <c r="G1073" s="6"/>
      <c r="H1073" s="6"/>
      <c r="I1073" s="6"/>
      <c r="J1073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073" s="21"/>
      <c r="L1073" s="7"/>
      <c r="M1073" s="41"/>
      <c r="N1073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073" s="26" t="str">
        <f>IF(
   T_Channel[[#This Row],[ProviderName]]="",
   "",
   COUNTIF($N$12:$N$9982,T_Channel[[#This Row],[ProviderName]])
)</f>
        <v/>
      </c>
      <c r="P1073" s="26" t="str">
        <f>IF(
   T_Channel[[#This Row],[Check]]&lt;&gt;"OK",
   "",
   IF(
      T_Channel[[#This Row],[Query]]="",
      "Empty",
      "Defined"
   )
)</f>
        <v/>
      </c>
      <c r="Q1073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073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073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07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073" s="20" t="str">
        <f>IF(
   T_Channel[[#This Row],[Check]]&lt;&gt;"OK",
   "",
   T_Channel[[#This Row],[ChannelSymbol]] &amp; ".evtx"
)</f>
        <v/>
      </c>
      <c r="V1073" s="20" t="str">
        <f>IF(
   T_Channel[[#This Row],[Check]]&lt;&gt;"OK",
   "",
   T_Channel[[#This Row],[LogFolder]] &amp; "\" &amp; T_Channel[[#This Row],[LogFile]]
)</f>
        <v/>
      </c>
      <c r="W1073" s="20" t="str">
        <f>IF(
   T_Channel[[#This Row],[Safekeeping of logs]]="",
   "",
   VLOOKUP(T_Channel[[#This Row],[Safekeeping of logs]],T_List_LogMode[],2,FALSE)
)</f>
        <v/>
      </c>
      <c r="X1073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074" spans="2:24" x14ac:dyDescent="0.45">
      <c r="B1074" s="7"/>
      <c r="C1074" s="7"/>
      <c r="D1074" s="7"/>
      <c r="E1074" s="7"/>
      <c r="F1074" s="6"/>
      <c r="G1074" s="6"/>
      <c r="H1074" s="6"/>
      <c r="I1074" s="6"/>
      <c r="J1074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074" s="21"/>
      <c r="L1074" s="7"/>
      <c r="M1074" s="41"/>
      <c r="N1074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074" s="26" t="str">
        <f>IF(
   T_Channel[[#This Row],[ProviderName]]="",
   "",
   COUNTIF($N$12:$N$9982,T_Channel[[#This Row],[ProviderName]])
)</f>
        <v/>
      </c>
      <c r="P1074" s="26" t="str">
        <f>IF(
   T_Channel[[#This Row],[Check]]&lt;&gt;"OK",
   "",
   IF(
      T_Channel[[#This Row],[Query]]="",
      "Empty",
      "Defined"
   )
)</f>
        <v/>
      </c>
      <c r="Q1074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074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074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07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074" s="20" t="str">
        <f>IF(
   T_Channel[[#This Row],[Check]]&lt;&gt;"OK",
   "",
   T_Channel[[#This Row],[ChannelSymbol]] &amp; ".evtx"
)</f>
        <v/>
      </c>
      <c r="V1074" s="20" t="str">
        <f>IF(
   T_Channel[[#This Row],[Check]]&lt;&gt;"OK",
   "",
   T_Channel[[#This Row],[LogFolder]] &amp; "\" &amp; T_Channel[[#This Row],[LogFile]]
)</f>
        <v/>
      </c>
      <c r="W1074" s="20" t="str">
        <f>IF(
   T_Channel[[#This Row],[Safekeeping of logs]]="",
   "",
   VLOOKUP(T_Channel[[#This Row],[Safekeeping of logs]],T_List_LogMode[],2,FALSE)
)</f>
        <v/>
      </c>
      <c r="X1074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075" spans="2:24" x14ac:dyDescent="0.45">
      <c r="B1075" s="7"/>
      <c r="C1075" s="7"/>
      <c r="D1075" s="7"/>
      <c r="E1075" s="7"/>
      <c r="F1075" s="6"/>
      <c r="G1075" s="6"/>
      <c r="H1075" s="6"/>
      <c r="I1075" s="6"/>
      <c r="J1075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075" s="21"/>
      <c r="L1075" s="7"/>
      <c r="M1075" s="41"/>
      <c r="N1075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075" s="26" t="str">
        <f>IF(
   T_Channel[[#This Row],[ProviderName]]="",
   "",
   COUNTIF($N$12:$N$9982,T_Channel[[#This Row],[ProviderName]])
)</f>
        <v/>
      </c>
      <c r="P1075" s="26" t="str">
        <f>IF(
   T_Channel[[#This Row],[Check]]&lt;&gt;"OK",
   "",
   IF(
      T_Channel[[#This Row],[Query]]="",
      "Empty",
      "Defined"
   )
)</f>
        <v/>
      </c>
      <c r="Q1075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075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075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07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075" s="20" t="str">
        <f>IF(
   T_Channel[[#This Row],[Check]]&lt;&gt;"OK",
   "",
   T_Channel[[#This Row],[ChannelSymbol]] &amp; ".evtx"
)</f>
        <v/>
      </c>
      <c r="V1075" s="20" t="str">
        <f>IF(
   T_Channel[[#This Row],[Check]]&lt;&gt;"OK",
   "",
   T_Channel[[#This Row],[LogFolder]] &amp; "\" &amp; T_Channel[[#This Row],[LogFile]]
)</f>
        <v/>
      </c>
      <c r="W1075" s="20" t="str">
        <f>IF(
   T_Channel[[#This Row],[Safekeeping of logs]]="",
   "",
   VLOOKUP(T_Channel[[#This Row],[Safekeeping of logs]],T_List_LogMode[],2,FALSE)
)</f>
        <v/>
      </c>
      <c r="X1075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076" spans="2:24" x14ac:dyDescent="0.45">
      <c r="B1076" s="7"/>
      <c r="C1076" s="7"/>
      <c r="D1076" s="7"/>
      <c r="E1076" s="7"/>
      <c r="F1076" s="6"/>
      <c r="G1076" s="6"/>
      <c r="H1076" s="6"/>
      <c r="I1076" s="6"/>
      <c r="J1076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076" s="21"/>
      <c r="L1076" s="7"/>
      <c r="M1076" s="41"/>
      <c r="N1076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076" s="26" t="str">
        <f>IF(
   T_Channel[[#This Row],[ProviderName]]="",
   "",
   COUNTIF($N$12:$N$9982,T_Channel[[#This Row],[ProviderName]])
)</f>
        <v/>
      </c>
      <c r="P1076" s="26" t="str">
        <f>IF(
   T_Channel[[#This Row],[Check]]&lt;&gt;"OK",
   "",
   IF(
      T_Channel[[#This Row],[Query]]="",
      "Empty",
      "Defined"
   )
)</f>
        <v/>
      </c>
      <c r="Q1076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076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076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07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076" s="20" t="str">
        <f>IF(
   T_Channel[[#This Row],[Check]]&lt;&gt;"OK",
   "",
   T_Channel[[#This Row],[ChannelSymbol]] &amp; ".evtx"
)</f>
        <v/>
      </c>
      <c r="V1076" s="20" t="str">
        <f>IF(
   T_Channel[[#This Row],[Check]]&lt;&gt;"OK",
   "",
   T_Channel[[#This Row],[LogFolder]] &amp; "\" &amp; T_Channel[[#This Row],[LogFile]]
)</f>
        <v/>
      </c>
      <c r="W1076" s="20" t="str">
        <f>IF(
   T_Channel[[#This Row],[Safekeeping of logs]]="",
   "",
   VLOOKUP(T_Channel[[#This Row],[Safekeeping of logs]],T_List_LogMode[],2,FALSE)
)</f>
        <v/>
      </c>
      <c r="X1076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077" spans="2:24" x14ac:dyDescent="0.45">
      <c r="B1077" s="7"/>
      <c r="C1077" s="7"/>
      <c r="D1077" s="7"/>
      <c r="E1077" s="7"/>
      <c r="F1077" s="6"/>
      <c r="G1077" s="6"/>
      <c r="H1077" s="6"/>
      <c r="I1077" s="6"/>
      <c r="J1077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077" s="21"/>
      <c r="L1077" s="7"/>
      <c r="M1077" s="41"/>
      <c r="N1077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077" s="26" t="str">
        <f>IF(
   T_Channel[[#This Row],[ProviderName]]="",
   "",
   COUNTIF($N$12:$N$9982,T_Channel[[#This Row],[ProviderName]])
)</f>
        <v/>
      </c>
      <c r="P1077" s="26" t="str">
        <f>IF(
   T_Channel[[#This Row],[Check]]&lt;&gt;"OK",
   "",
   IF(
      T_Channel[[#This Row],[Query]]="",
      "Empty",
      "Defined"
   )
)</f>
        <v/>
      </c>
      <c r="Q1077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077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077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07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077" s="20" t="str">
        <f>IF(
   T_Channel[[#This Row],[Check]]&lt;&gt;"OK",
   "",
   T_Channel[[#This Row],[ChannelSymbol]] &amp; ".evtx"
)</f>
        <v/>
      </c>
      <c r="V1077" s="20" t="str">
        <f>IF(
   T_Channel[[#This Row],[Check]]&lt;&gt;"OK",
   "",
   T_Channel[[#This Row],[LogFolder]] &amp; "\" &amp; T_Channel[[#This Row],[LogFile]]
)</f>
        <v/>
      </c>
      <c r="W1077" s="20" t="str">
        <f>IF(
   T_Channel[[#This Row],[Safekeeping of logs]]="",
   "",
   VLOOKUP(T_Channel[[#This Row],[Safekeeping of logs]],T_List_LogMode[],2,FALSE)
)</f>
        <v/>
      </c>
      <c r="X1077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078" spans="2:24" x14ac:dyDescent="0.45">
      <c r="B1078" s="7"/>
      <c r="C1078" s="7"/>
      <c r="D1078" s="7"/>
      <c r="E1078" s="7"/>
      <c r="F1078" s="6"/>
      <c r="G1078" s="6"/>
      <c r="H1078" s="6"/>
      <c r="I1078" s="6"/>
      <c r="J1078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078" s="21"/>
      <c r="L1078" s="7"/>
      <c r="M1078" s="41"/>
      <c r="N1078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078" s="26" t="str">
        <f>IF(
   T_Channel[[#This Row],[ProviderName]]="",
   "",
   COUNTIF($N$12:$N$9982,T_Channel[[#This Row],[ProviderName]])
)</f>
        <v/>
      </c>
      <c r="P1078" s="26" t="str">
        <f>IF(
   T_Channel[[#This Row],[Check]]&lt;&gt;"OK",
   "",
   IF(
      T_Channel[[#This Row],[Query]]="",
      "Empty",
      "Defined"
   )
)</f>
        <v/>
      </c>
      <c r="Q1078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078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078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07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078" s="20" t="str">
        <f>IF(
   T_Channel[[#This Row],[Check]]&lt;&gt;"OK",
   "",
   T_Channel[[#This Row],[ChannelSymbol]] &amp; ".evtx"
)</f>
        <v/>
      </c>
      <c r="V1078" s="20" t="str">
        <f>IF(
   T_Channel[[#This Row],[Check]]&lt;&gt;"OK",
   "",
   T_Channel[[#This Row],[LogFolder]] &amp; "\" &amp; T_Channel[[#This Row],[LogFile]]
)</f>
        <v/>
      </c>
      <c r="W1078" s="20" t="str">
        <f>IF(
   T_Channel[[#This Row],[Safekeeping of logs]]="",
   "",
   VLOOKUP(T_Channel[[#This Row],[Safekeeping of logs]],T_List_LogMode[],2,FALSE)
)</f>
        <v/>
      </c>
      <c r="X1078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079" spans="2:24" x14ac:dyDescent="0.45">
      <c r="B1079" s="7"/>
      <c r="C1079" s="7"/>
      <c r="D1079" s="7"/>
      <c r="E1079" s="7"/>
      <c r="F1079" s="6"/>
      <c r="G1079" s="6"/>
      <c r="H1079" s="6"/>
      <c r="I1079" s="6"/>
      <c r="J1079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079" s="21"/>
      <c r="L1079" s="7"/>
      <c r="M1079" s="41"/>
      <c r="N1079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079" s="26" t="str">
        <f>IF(
   T_Channel[[#This Row],[ProviderName]]="",
   "",
   COUNTIF($N$12:$N$9982,T_Channel[[#This Row],[ProviderName]])
)</f>
        <v/>
      </c>
      <c r="P1079" s="26" t="str">
        <f>IF(
   T_Channel[[#This Row],[Check]]&lt;&gt;"OK",
   "",
   IF(
      T_Channel[[#This Row],[Query]]="",
      "Empty",
      "Defined"
   )
)</f>
        <v/>
      </c>
      <c r="Q1079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079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079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07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079" s="20" t="str">
        <f>IF(
   T_Channel[[#This Row],[Check]]&lt;&gt;"OK",
   "",
   T_Channel[[#This Row],[ChannelSymbol]] &amp; ".evtx"
)</f>
        <v/>
      </c>
      <c r="V1079" s="20" t="str">
        <f>IF(
   T_Channel[[#This Row],[Check]]&lt;&gt;"OK",
   "",
   T_Channel[[#This Row],[LogFolder]] &amp; "\" &amp; T_Channel[[#This Row],[LogFile]]
)</f>
        <v/>
      </c>
      <c r="W1079" s="20" t="str">
        <f>IF(
   T_Channel[[#This Row],[Safekeeping of logs]]="",
   "",
   VLOOKUP(T_Channel[[#This Row],[Safekeeping of logs]],T_List_LogMode[],2,FALSE)
)</f>
        <v/>
      </c>
      <c r="X1079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080" spans="2:24" x14ac:dyDescent="0.45">
      <c r="B1080" s="7"/>
      <c r="C1080" s="7"/>
      <c r="D1080" s="7"/>
      <c r="E1080" s="7"/>
      <c r="F1080" s="6"/>
      <c r="G1080" s="6"/>
      <c r="H1080" s="6"/>
      <c r="I1080" s="6"/>
      <c r="J1080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080" s="21"/>
      <c r="L1080" s="7"/>
      <c r="M1080" s="41"/>
      <c r="N1080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080" s="26" t="str">
        <f>IF(
   T_Channel[[#This Row],[ProviderName]]="",
   "",
   COUNTIF($N$12:$N$9982,T_Channel[[#This Row],[ProviderName]])
)</f>
        <v/>
      </c>
      <c r="P1080" s="26" t="str">
        <f>IF(
   T_Channel[[#This Row],[Check]]&lt;&gt;"OK",
   "",
   IF(
      T_Channel[[#This Row],[Query]]="",
      "Empty",
      "Defined"
   )
)</f>
        <v/>
      </c>
      <c r="Q1080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080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080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08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080" s="20" t="str">
        <f>IF(
   T_Channel[[#This Row],[Check]]&lt;&gt;"OK",
   "",
   T_Channel[[#This Row],[ChannelSymbol]] &amp; ".evtx"
)</f>
        <v/>
      </c>
      <c r="V1080" s="20" t="str">
        <f>IF(
   T_Channel[[#This Row],[Check]]&lt;&gt;"OK",
   "",
   T_Channel[[#This Row],[LogFolder]] &amp; "\" &amp; T_Channel[[#This Row],[LogFile]]
)</f>
        <v/>
      </c>
      <c r="W1080" s="20" t="str">
        <f>IF(
   T_Channel[[#This Row],[Safekeeping of logs]]="",
   "",
   VLOOKUP(T_Channel[[#This Row],[Safekeeping of logs]],T_List_LogMode[],2,FALSE)
)</f>
        <v/>
      </c>
      <c r="X1080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081" spans="2:24" x14ac:dyDescent="0.45">
      <c r="B1081" s="7"/>
      <c r="C1081" s="7"/>
      <c r="D1081" s="7"/>
      <c r="E1081" s="7"/>
      <c r="F1081" s="6"/>
      <c r="G1081" s="6"/>
      <c r="H1081" s="6"/>
      <c r="I1081" s="6"/>
      <c r="J1081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081" s="21"/>
      <c r="L1081" s="7"/>
      <c r="M1081" s="41"/>
      <c r="N1081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081" s="26" t="str">
        <f>IF(
   T_Channel[[#This Row],[ProviderName]]="",
   "",
   COUNTIF($N$12:$N$9982,T_Channel[[#This Row],[ProviderName]])
)</f>
        <v/>
      </c>
      <c r="P1081" s="26" t="str">
        <f>IF(
   T_Channel[[#This Row],[Check]]&lt;&gt;"OK",
   "",
   IF(
      T_Channel[[#This Row],[Query]]="",
      "Empty",
      "Defined"
   )
)</f>
        <v/>
      </c>
      <c r="Q1081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081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081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08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081" s="20" t="str">
        <f>IF(
   T_Channel[[#This Row],[Check]]&lt;&gt;"OK",
   "",
   T_Channel[[#This Row],[ChannelSymbol]] &amp; ".evtx"
)</f>
        <v/>
      </c>
      <c r="V1081" s="20" t="str">
        <f>IF(
   T_Channel[[#This Row],[Check]]&lt;&gt;"OK",
   "",
   T_Channel[[#This Row],[LogFolder]] &amp; "\" &amp; T_Channel[[#This Row],[LogFile]]
)</f>
        <v/>
      </c>
      <c r="W1081" s="20" t="str">
        <f>IF(
   T_Channel[[#This Row],[Safekeeping of logs]]="",
   "",
   VLOOKUP(T_Channel[[#This Row],[Safekeeping of logs]],T_List_LogMode[],2,FALSE)
)</f>
        <v/>
      </c>
      <c r="X1081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082" spans="2:24" x14ac:dyDescent="0.45">
      <c r="B1082" s="7"/>
      <c r="C1082" s="7"/>
      <c r="D1082" s="7"/>
      <c r="E1082" s="7"/>
      <c r="F1082" s="6"/>
      <c r="G1082" s="6"/>
      <c r="H1082" s="6"/>
      <c r="I1082" s="6"/>
      <c r="J1082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082" s="21"/>
      <c r="L1082" s="7"/>
      <c r="M1082" s="41"/>
      <c r="N1082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082" s="26" t="str">
        <f>IF(
   T_Channel[[#This Row],[ProviderName]]="",
   "",
   COUNTIF($N$12:$N$9982,T_Channel[[#This Row],[ProviderName]])
)</f>
        <v/>
      </c>
      <c r="P1082" s="26" t="str">
        <f>IF(
   T_Channel[[#This Row],[Check]]&lt;&gt;"OK",
   "",
   IF(
      T_Channel[[#This Row],[Query]]="",
      "Empty",
      "Defined"
   )
)</f>
        <v/>
      </c>
      <c r="Q1082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082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082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08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082" s="20" t="str">
        <f>IF(
   T_Channel[[#This Row],[Check]]&lt;&gt;"OK",
   "",
   T_Channel[[#This Row],[ChannelSymbol]] &amp; ".evtx"
)</f>
        <v/>
      </c>
      <c r="V1082" s="20" t="str">
        <f>IF(
   T_Channel[[#This Row],[Check]]&lt;&gt;"OK",
   "",
   T_Channel[[#This Row],[LogFolder]] &amp; "\" &amp; T_Channel[[#This Row],[LogFile]]
)</f>
        <v/>
      </c>
      <c r="W1082" s="20" t="str">
        <f>IF(
   T_Channel[[#This Row],[Safekeeping of logs]]="",
   "",
   VLOOKUP(T_Channel[[#This Row],[Safekeeping of logs]],T_List_LogMode[],2,FALSE)
)</f>
        <v/>
      </c>
      <c r="X1082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083" spans="2:24" x14ac:dyDescent="0.45">
      <c r="B1083" s="7"/>
      <c r="C1083" s="7"/>
      <c r="D1083" s="7"/>
      <c r="E1083" s="7"/>
      <c r="F1083" s="6"/>
      <c r="G1083" s="6"/>
      <c r="H1083" s="6"/>
      <c r="I1083" s="6"/>
      <c r="J1083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083" s="21"/>
      <c r="L1083" s="7"/>
      <c r="M1083" s="41"/>
      <c r="N1083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083" s="26" t="str">
        <f>IF(
   T_Channel[[#This Row],[ProviderName]]="",
   "",
   COUNTIF($N$12:$N$9982,T_Channel[[#This Row],[ProviderName]])
)</f>
        <v/>
      </c>
      <c r="P1083" s="26" t="str">
        <f>IF(
   T_Channel[[#This Row],[Check]]&lt;&gt;"OK",
   "",
   IF(
      T_Channel[[#This Row],[Query]]="",
      "Empty",
      "Defined"
   )
)</f>
        <v/>
      </c>
      <c r="Q1083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083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083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08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083" s="20" t="str">
        <f>IF(
   T_Channel[[#This Row],[Check]]&lt;&gt;"OK",
   "",
   T_Channel[[#This Row],[ChannelSymbol]] &amp; ".evtx"
)</f>
        <v/>
      </c>
      <c r="V1083" s="20" t="str">
        <f>IF(
   T_Channel[[#This Row],[Check]]&lt;&gt;"OK",
   "",
   T_Channel[[#This Row],[LogFolder]] &amp; "\" &amp; T_Channel[[#This Row],[LogFile]]
)</f>
        <v/>
      </c>
      <c r="W1083" s="20" t="str">
        <f>IF(
   T_Channel[[#This Row],[Safekeeping of logs]]="",
   "",
   VLOOKUP(T_Channel[[#This Row],[Safekeeping of logs]],T_List_LogMode[],2,FALSE)
)</f>
        <v/>
      </c>
      <c r="X1083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084" spans="2:24" x14ac:dyDescent="0.45">
      <c r="B1084" s="7"/>
      <c r="C1084" s="7"/>
      <c r="D1084" s="7"/>
      <c r="E1084" s="7"/>
      <c r="F1084" s="6"/>
      <c r="G1084" s="6"/>
      <c r="H1084" s="6"/>
      <c r="I1084" s="6"/>
      <c r="J1084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084" s="21"/>
      <c r="L1084" s="7"/>
      <c r="M1084" s="41"/>
      <c r="N1084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084" s="26" t="str">
        <f>IF(
   T_Channel[[#This Row],[ProviderName]]="",
   "",
   COUNTIF($N$12:$N$9982,T_Channel[[#This Row],[ProviderName]])
)</f>
        <v/>
      </c>
      <c r="P1084" s="26" t="str">
        <f>IF(
   T_Channel[[#This Row],[Check]]&lt;&gt;"OK",
   "",
   IF(
      T_Channel[[#This Row],[Query]]="",
      "Empty",
      "Defined"
   )
)</f>
        <v/>
      </c>
      <c r="Q1084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084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084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08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084" s="20" t="str">
        <f>IF(
   T_Channel[[#This Row],[Check]]&lt;&gt;"OK",
   "",
   T_Channel[[#This Row],[ChannelSymbol]] &amp; ".evtx"
)</f>
        <v/>
      </c>
      <c r="V1084" s="20" t="str">
        <f>IF(
   T_Channel[[#This Row],[Check]]&lt;&gt;"OK",
   "",
   T_Channel[[#This Row],[LogFolder]] &amp; "\" &amp; T_Channel[[#This Row],[LogFile]]
)</f>
        <v/>
      </c>
      <c r="W1084" s="20" t="str">
        <f>IF(
   T_Channel[[#This Row],[Safekeeping of logs]]="",
   "",
   VLOOKUP(T_Channel[[#This Row],[Safekeeping of logs]],T_List_LogMode[],2,FALSE)
)</f>
        <v/>
      </c>
      <c r="X1084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085" spans="2:24" x14ac:dyDescent="0.45">
      <c r="B1085" s="7"/>
      <c r="C1085" s="7"/>
      <c r="D1085" s="7"/>
      <c r="E1085" s="7"/>
      <c r="F1085" s="6"/>
      <c r="G1085" s="6"/>
      <c r="H1085" s="6"/>
      <c r="I1085" s="6"/>
      <c r="J1085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085" s="21"/>
      <c r="L1085" s="7"/>
      <c r="M1085" s="41"/>
      <c r="N1085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085" s="26" t="str">
        <f>IF(
   T_Channel[[#This Row],[ProviderName]]="",
   "",
   COUNTIF($N$12:$N$9982,T_Channel[[#This Row],[ProviderName]])
)</f>
        <v/>
      </c>
      <c r="P1085" s="26" t="str">
        <f>IF(
   T_Channel[[#This Row],[Check]]&lt;&gt;"OK",
   "",
   IF(
      T_Channel[[#This Row],[Query]]="",
      "Empty",
      "Defined"
   )
)</f>
        <v/>
      </c>
      <c r="Q1085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085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085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08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085" s="20" t="str">
        <f>IF(
   T_Channel[[#This Row],[Check]]&lt;&gt;"OK",
   "",
   T_Channel[[#This Row],[ChannelSymbol]] &amp; ".evtx"
)</f>
        <v/>
      </c>
      <c r="V1085" s="20" t="str">
        <f>IF(
   T_Channel[[#This Row],[Check]]&lt;&gt;"OK",
   "",
   T_Channel[[#This Row],[LogFolder]] &amp; "\" &amp; T_Channel[[#This Row],[LogFile]]
)</f>
        <v/>
      </c>
      <c r="W1085" s="20" t="str">
        <f>IF(
   T_Channel[[#This Row],[Safekeeping of logs]]="",
   "",
   VLOOKUP(T_Channel[[#This Row],[Safekeeping of logs]],T_List_LogMode[],2,FALSE)
)</f>
        <v/>
      </c>
      <c r="X1085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086" spans="2:24" x14ac:dyDescent="0.45">
      <c r="B1086" s="7"/>
      <c r="C1086" s="7"/>
      <c r="D1086" s="7"/>
      <c r="E1086" s="7"/>
      <c r="F1086" s="6"/>
      <c r="G1086" s="6"/>
      <c r="H1086" s="6"/>
      <c r="I1086" s="6"/>
      <c r="J1086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086" s="21"/>
      <c r="L1086" s="7"/>
      <c r="M1086" s="41"/>
      <c r="N1086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086" s="26" t="str">
        <f>IF(
   T_Channel[[#This Row],[ProviderName]]="",
   "",
   COUNTIF($N$12:$N$9982,T_Channel[[#This Row],[ProviderName]])
)</f>
        <v/>
      </c>
      <c r="P1086" s="26" t="str">
        <f>IF(
   T_Channel[[#This Row],[Check]]&lt;&gt;"OK",
   "",
   IF(
      T_Channel[[#This Row],[Query]]="",
      "Empty",
      "Defined"
   )
)</f>
        <v/>
      </c>
      <c r="Q1086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086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086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08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086" s="20" t="str">
        <f>IF(
   T_Channel[[#This Row],[Check]]&lt;&gt;"OK",
   "",
   T_Channel[[#This Row],[ChannelSymbol]] &amp; ".evtx"
)</f>
        <v/>
      </c>
      <c r="V1086" s="20" t="str">
        <f>IF(
   T_Channel[[#This Row],[Check]]&lt;&gt;"OK",
   "",
   T_Channel[[#This Row],[LogFolder]] &amp; "\" &amp; T_Channel[[#This Row],[LogFile]]
)</f>
        <v/>
      </c>
      <c r="W1086" s="20" t="str">
        <f>IF(
   T_Channel[[#This Row],[Safekeeping of logs]]="",
   "",
   VLOOKUP(T_Channel[[#This Row],[Safekeeping of logs]],T_List_LogMode[],2,FALSE)
)</f>
        <v/>
      </c>
      <c r="X1086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087" spans="2:24" x14ac:dyDescent="0.45">
      <c r="B1087" s="7"/>
      <c r="C1087" s="7"/>
      <c r="D1087" s="7"/>
      <c r="E1087" s="7"/>
      <c r="F1087" s="6"/>
      <c r="G1087" s="6"/>
      <c r="H1087" s="6"/>
      <c r="I1087" s="6"/>
      <c r="J1087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087" s="21"/>
      <c r="L1087" s="7"/>
      <c r="M1087" s="41"/>
      <c r="N1087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087" s="26" t="str">
        <f>IF(
   T_Channel[[#This Row],[ProviderName]]="",
   "",
   COUNTIF($N$12:$N$9982,T_Channel[[#This Row],[ProviderName]])
)</f>
        <v/>
      </c>
      <c r="P1087" s="26" t="str">
        <f>IF(
   T_Channel[[#This Row],[Check]]&lt;&gt;"OK",
   "",
   IF(
      T_Channel[[#This Row],[Query]]="",
      "Empty",
      "Defined"
   )
)</f>
        <v/>
      </c>
      <c r="Q1087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087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087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08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087" s="20" t="str">
        <f>IF(
   T_Channel[[#This Row],[Check]]&lt;&gt;"OK",
   "",
   T_Channel[[#This Row],[ChannelSymbol]] &amp; ".evtx"
)</f>
        <v/>
      </c>
      <c r="V1087" s="20" t="str">
        <f>IF(
   T_Channel[[#This Row],[Check]]&lt;&gt;"OK",
   "",
   T_Channel[[#This Row],[LogFolder]] &amp; "\" &amp; T_Channel[[#This Row],[LogFile]]
)</f>
        <v/>
      </c>
      <c r="W1087" s="20" t="str">
        <f>IF(
   T_Channel[[#This Row],[Safekeeping of logs]]="",
   "",
   VLOOKUP(T_Channel[[#This Row],[Safekeeping of logs]],T_List_LogMode[],2,FALSE)
)</f>
        <v/>
      </c>
      <c r="X1087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088" spans="2:24" x14ac:dyDescent="0.45">
      <c r="B1088" s="7"/>
      <c r="C1088" s="7"/>
      <c r="D1088" s="7"/>
      <c r="E1088" s="7"/>
      <c r="F1088" s="6"/>
      <c r="G1088" s="6"/>
      <c r="H1088" s="6"/>
      <c r="I1088" s="6"/>
      <c r="J1088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088" s="21"/>
      <c r="L1088" s="7"/>
      <c r="M1088" s="41"/>
      <c r="N1088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088" s="26" t="str">
        <f>IF(
   T_Channel[[#This Row],[ProviderName]]="",
   "",
   COUNTIF($N$12:$N$9982,T_Channel[[#This Row],[ProviderName]])
)</f>
        <v/>
      </c>
      <c r="P1088" s="26" t="str">
        <f>IF(
   T_Channel[[#This Row],[Check]]&lt;&gt;"OK",
   "",
   IF(
      T_Channel[[#This Row],[Query]]="",
      "Empty",
      "Defined"
   )
)</f>
        <v/>
      </c>
      <c r="Q1088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088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088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08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088" s="20" t="str">
        <f>IF(
   T_Channel[[#This Row],[Check]]&lt;&gt;"OK",
   "",
   T_Channel[[#This Row],[ChannelSymbol]] &amp; ".evtx"
)</f>
        <v/>
      </c>
      <c r="V1088" s="20" t="str">
        <f>IF(
   T_Channel[[#This Row],[Check]]&lt;&gt;"OK",
   "",
   T_Channel[[#This Row],[LogFolder]] &amp; "\" &amp; T_Channel[[#This Row],[LogFile]]
)</f>
        <v/>
      </c>
      <c r="W1088" s="20" t="str">
        <f>IF(
   T_Channel[[#This Row],[Safekeeping of logs]]="",
   "",
   VLOOKUP(T_Channel[[#This Row],[Safekeeping of logs]],T_List_LogMode[],2,FALSE)
)</f>
        <v/>
      </c>
      <c r="X1088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089" spans="2:24" x14ac:dyDescent="0.45">
      <c r="B1089" s="7"/>
      <c r="C1089" s="7"/>
      <c r="D1089" s="7"/>
      <c r="E1089" s="7"/>
      <c r="F1089" s="6"/>
      <c r="G1089" s="6"/>
      <c r="H1089" s="6"/>
      <c r="I1089" s="6"/>
      <c r="J1089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089" s="21"/>
      <c r="L1089" s="7"/>
      <c r="M1089" s="41"/>
      <c r="N1089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089" s="26" t="str">
        <f>IF(
   T_Channel[[#This Row],[ProviderName]]="",
   "",
   COUNTIF($N$12:$N$9982,T_Channel[[#This Row],[ProviderName]])
)</f>
        <v/>
      </c>
      <c r="P1089" s="26" t="str">
        <f>IF(
   T_Channel[[#This Row],[Check]]&lt;&gt;"OK",
   "",
   IF(
      T_Channel[[#This Row],[Query]]="",
      "Empty",
      "Defined"
   )
)</f>
        <v/>
      </c>
      <c r="Q1089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089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089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08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089" s="20" t="str">
        <f>IF(
   T_Channel[[#This Row],[Check]]&lt;&gt;"OK",
   "",
   T_Channel[[#This Row],[ChannelSymbol]] &amp; ".evtx"
)</f>
        <v/>
      </c>
      <c r="V1089" s="20" t="str">
        <f>IF(
   T_Channel[[#This Row],[Check]]&lt;&gt;"OK",
   "",
   T_Channel[[#This Row],[LogFolder]] &amp; "\" &amp; T_Channel[[#This Row],[LogFile]]
)</f>
        <v/>
      </c>
      <c r="W1089" s="20" t="str">
        <f>IF(
   T_Channel[[#This Row],[Safekeeping of logs]]="",
   "",
   VLOOKUP(T_Channel[[#This Row],[Safekeeping of logs]],T_List_LogMode[],2,FALSE)
)</f>
        <v/>
      </c>
      <c r="X1089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090" spans="2:24" x14ac:dyDescent="0.45">
      <c r="B1090" s="7"/>
      <c r="C1090" s="7"/>
      <c r="D1090" s="7"/>
      <c r="E1090" s="7"/>
      <c r="F1090" s="6"/>
      <c r="G1090" s="6"/>
      <c r="H1090" s="6"/>
      <c r="I1090" s="6"/>
      <c r="J1090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090" s="21"/>
      <c r="L1090" s="7"/>
      <c r="M1090" s="41"/>
      <c r="N1090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090" s="26" t="str">
        <f>IF(
   T_Channel[[#This Row],[ProviderName]]="",
   "",
   COUNTIF($N$12:$N$9982,T_Channel[[#This Row],[ProviderName]])
)</f>
        <v/>
      </c>
      <c r="P1090" s="26" t="str">
        <f>IF(
   T_Channel[[#This Row],[Check]]&lt;&gt;"OK",
   "",
   IF(
      T_Channel[[#This Row],[Query]]="",
      "Empty",
      "Defined"
   )
)</f>
        <v/>
      </c>
      <c r="Q1090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090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090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09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090" s="20" t="str">
        <f>IF(
   T_Channel[[#This Row],[Check]]&lt;&gt;"OK",
   "",
   T_Channel[[#This Row],[ChannelSymbol]] &amp; ".evtx"
)</f>
        <v/>
      </c>
      <c r="V1090" s="20" t="str">
        <f>IF(
   T_Channel[[#This Row],[Check]]&lt;&gt;"OK",
   "",
   T_Channel[[#This Row],[LogFolder]] &amp; "\" &amp; T_Channel[[#This Row],[LogFile]]
)</f>
        <v/>
      </c>
      <c r="W1090" s="20" t="str">
        <f>IF(
   T_Channel[[#This Row],[Safekeeping of logs]]="",
   "",
   VLOOKUP(T_Channel[[#This Row],[Safekeeping of logs]],T_List_LogMode[],2,FALSE)
)</f>
        <v/>
      </c>
      <c r="X1090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091" spans="2:24" x14ac:dyDescent="0.45">
      <c r="B1091" s="7"/>
      <c r="C1091" s="7"/>
      <c r="D1091" s="7"/>
      <c r="E1091" s="7"/>
      <c r="F1091" s="6"/>
      <c r="G1091" s="6"/>
      <c r="H1091" s="6"/>
      <c r="I1091" s="6"/>
      <c r="J1091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091" s="21"/>
      <c r="L1091" s="7"/>
      <c r="M1091" s="41"/>
      <c r="N1091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091" s="26" t="str">
        <f>IF(
   T_Channel[[#This Row],[ProviderName]]="",
   "",
   COUNTIF($N$12:$N$9982,T_Channel[[#This Row],[ProviderName]])
)</f>
        <v/>
      </c>
      <c r="P1091" s="26" t="str">
        <f>IF(
   T_Channel[[#This Row],[Check]]&lt;&gt;"OK",
   "",
   IF(
      T_Channel[[#This Row],[Query]]="",
      "Empty",
      "Defined"
   )
)</f>
        <v/>
      </c>
      <c r="Q1091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091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091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09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091" s="20" t="str">
        <f>IF(
   T_Channel[[#This Row],[Check]]&lt;&gt;"OK",
   "",
   T_Channel[[#This Row],[ChannelSymbol]] &amp; ".evtx"
)</f>
        <v/>
      </c>
      <c r="V1091" s="20" t="str">
        <f>IF(
   T_Channel[[#This Row],[Check]]&lt;&gt;"OK",
   "",
   T_Channel[[#This Row],[LogFolder]] &amp; "\" &amp; T_Channel[[#This Row],[LogFile]]
)</f>
        <v/>
      </c>
      <c r="W1091" s="20" t="str">
        <f>IF(
   T_Channel[[#This Row],[Safekeeping of logs]]="",
   "",
   VLOOKUP(T_Channel[[#This Row],[Safekeeping of logs]],T_List_LogMode[],2,FALSE)
)</f>
        <v/>
      </c>
      <c r="X1091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092" spans="2:24" x14ac:dyDescent="0.45">
      <c r="B1092" s="7"/>
      <c r="C1092" s="7"/>
      <c r="D1092" s="7"/>
      <c r="E1092" s="7"/>
      <c r="F1092" s="6"/>
      <c r="G1092" s="6"/>
      <c r="H1092" s="6"/>
      <c r="I1092" s="6"/>
      <c r="J1092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092" s="21"/>
      <c r="L1092" s="7"/>
      <c r="M1092" s="41"/>
      <c r="N1092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092" s="26" t="str">
        <f>IF(
   T_Channel[[#This Row],[ProviderName]]="",
   "",
   COUNTIF($N$12:$N$9982,T_Channel[[#This Row],[ProviderName]])
)</f>
        <v/>
      </c>
      <c r="P1092" s="26" t="str">
        <f>IF(
   T_Channel[[#This Row],[Check]]&lt;&gt;"OK",
   "",
   IF(
      T_Channel[[#This Row],[Query]]="",
      "Empty",
      "Defined"
   )
)</f>
        <v/>
      </c>
      <c r="Q1092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092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092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09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092" s="20" t="str">
        <f>IF(
   T_Channel[[#This Row],[Check]]&lt;&gt;"OK",
   "",
   T_Channel[[#This Row],[ChannelSymbol]] &amp; ".evtx"
)</f>
        <v/>
      </c>
      <c r="V1092" s="20" t="str">
        <f>IF(
   T_Channel[[#This Row],[Check]]&lt;&gt;"OK",
   "",
   T_Channel[[#This Row],[LogFolder]] &amp; "\" &amp; T_Channel[[#This Row],[LogFile]]
)</f>
        <v/>
      </c>
      <c r="W1092" s="20" t="str">
        <f>IF(
   T_Channel[[#This Row],[Safekeeping of logs]]="",
   "",
   VLOOKUP(T_Channel[[#This Row],[Safekeeping of logs]],T_List_LogMode[],2,FALSE)
)</f>
        <v/>
      </c>
      <c r="X1092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093" spans="2:24" x14ac:dyDescent="0.45">
      <c r="B1093" s="7"/>
      <c r="C1093" s="7"/>
      <c r="D1093" s="7"/>
      <c r="E1093" s="7"/>
      <c r="F1093" s="6"/>
      <c r="G1093" s="6"/>
      <c r="H1093" s="6"/>
      <c r="I1093" s="6"/>
      <c r="J1093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093" s="21"/>
      <c r="L1093" s="7"/>
      <c r="M1093" s="41"/>
      <c r="N1093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093" s="26" t="str">
        <f>IF(
   T_Channel[[#This Row],[ProviderName]]="",
   "",
   COUNTIF($N$12:$N$9982,T_Channel[[#This Row],[ProviderName]])
)</f>
        <v/>
      </c>
      <c r="P1093" s="26" t="str">
        <f>IF(
   T_Channel[[#This Row],[Check]]&lt;&gt;"OK",
   "",
   IF(
      T_Channel[[#This Row],[Query]]="",
      "Empty",
      "Defined"
   )
)</f>
        <v/>
      </c>
      <c r="Q1093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093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093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09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093" s="20" t="str">
        <f>IF(
   T_Channel[[#This Row],[Check]]&lt;&gt;"OK",
   "",
   T_Channel[[#This Row],[ChannelSymbol]] &amp; ".evtx"
)</f>
        <v/>
      </c>
      <c r="V1093" s="20" t="str">
        <f>IF(
   T_Channel[[#This Row],[Check]]&lt;&gt;"OK",
   "",
   T_Channel[[#This Row],[LogFolder]] &amp; "\" &amp; T_Channel[[#This Row],[LogFile]]
)</f>
        <v/>
      </c>
      <c r="W1093" s="20" t="str">
        <f>IF(
   T_Channel[[#This Row],[Safekeeping of logs]]="",
   "",
   VLOOKUP(T_Channel[[#This Row],[Safekeeping of logs]],T_List_LogMode[],2,FALSE)
)</f>
        <v/>
      </c>
      <c r="X1093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094" spans="2:24" x14ac:dyDescent="0.45">
      <c r="B1094" s="7"/>
      <c r="C1094" s="7"/>
      <c r="D1094" s="7"/>
      <c r="E1094" s="7"/>
      <c r="F1094" s="6"/>
      <c r="G1094" s="6"/>
      <c r="H1094" s="6"/>
      <c r="I1094" s="6"/>
      <c r="J1094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094" s="21"/>
      <c r="L1094" s="7"/>
      <c r="M1094" s="41"/>
      <c r="N1094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094" s="26" t="str">
        <f>IF(
   T_Channel[[#This Row],[ProviderName]]="",
   "",
   COUNTIF($N$12:$N$9982,T_Channel[[#This Row],[ProviderName]])
)</f>
        <v/>
      </c>
      <c r="P1094" s="26" t="str">
        <f>IF(
   T_Channel[[#This Row],[Check]]&lt;&gt;"OK",
   "",
   IF(
      T_Channel[[#This Row],[Query]]="",
      "Empty",
      "Defined"
   )
)</f>
        <v/>
      </c>
      <c r="Q1094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094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094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09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094" s="20" t="str">
        <f>IF(
   T_Channel[[#This Row],[Check]]&lt;&gt;"OK",
   "",
   T_Channel[[#This Row],[ChannelSymbol]] &amp; ".evtx"
)</f>
        <v/>
      </c>
      <c r="V1094" s="20" t="str">
        <f>IF(
   T_Channel[[#This Row],[Check]]&lt;&gt;"OK",
   "",
   T_Channel[[#This Row],[LogFolder]] &amp; "\" &amp; T_Channel[[#This Row],[LogFile]]
)</f>
        <v/>
      </c>
      <c r="W1094" s="20" t="str">
        <f>IF(
   T_Channel[[#This Row],[Safekeeping of logs]]="",
   "",
   VLOOKUP(T_Channel[[#This Row],[Safekeeping of logs]],T_List_LogMode[],2,FALSE)
)</f>
        <v/>
      </c>
      <c r="X1094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095" spans="2:24" x14ac:dyDescent="0.45">
      <c r="B1095" s="7"/>
      <c r="C1095" s="7"/>
      <c r="D1095" s="7"/>
      <c r="E1095" s="7"/>
      <c r="F1095" s="6"/>
      <c r="G1095" s="6"/>
      <c r="H1095" s="6"/>
      <c r="I1095" s="6"/>
      <c r="J1095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095" s="21"/>
      <c r="L1095" s="7"/>
      <c r="M1095" s="41"/>
      <c r="N1095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095" s="26" t="str">
        <f>IF(
   T_Channel[[#This Row],[ProviderName]]="",
   "",
   COUNTIF($N$12:$N$9982,T_Channel[[#This Row],[ProviderName]])
)</f>
        <v/>
      </c>
      <c r="P1095" s="26" t="str">
        <f>IF(
   T_Channel[[#This Row],[Check]]&lt;&gt;"OK",
   "",
   IF(
      T_Channel[[#This Row],[Query]]="",
      "Empty",
      "Defined"
   )
)</f>
        <v/>
      </c>
      <c r="Q1095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095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095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09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095" s="20" t="str">
        <f>IF(
   T_Channel[[#This Row],[Check]]&lt;&gt;"OK",
   "",
   T_Channel[[#This Row],[ChannelSymbol]] &amp; ".evtx"
)</f>
        <v/>
      </c>
      <c r="V1095" s="20" t="str">
        <f>IF(
   T_Channel[[#This Row],[Check]]&lt;&gt;"OK",
   "",
   T_Channel[[#This Row],[LogFolder]] &amp; "\" &amp; T_Channel[[#This Row],[LogFile]]
)</f>
        <v/>
      </c>
      <c r="W1095" s="20" t="str">
        <f>IF(
   T_Channel[[#This Row],[Safekeeping of logs]]="",
   "",
   VLOOKUP(T_Channel[[#This Row],[Safekeeping of logs]],T_List_LogMode[],2,FALSE)
)</f>
        <v/>
      </c>
      <c r="X1095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096" spans="2:24" x14ac:dyDescent="0.45">
      <c r="B1096" s="7"/>
      <c r="C1096" s="7"/>
      <c r="D1096" s="7"/>
      <c r="E1096" s="7"/>
      <c r="F1096" s="6"/>
      <c r="G1096" s="6"/>
      <c r="H1096" s="6"/>
      <c r="I1096" s="6"/>
      <c r="J1096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096" s="21"/>
      <c r="L1096" s="7"/>
      <c r="M1096" s="41"/>
      <c r="N1096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096" s="26" t="str">
        <f>IF(
   T_Channel[[#This Row],[ProviderName]]="",
   "",
   COUNTIF($N$12:$N$9982,T_Channel[[#This Row],[ProviderName]])
)</f>
        <v/>
      </c>
      <c r="P1096" s="26" t="str">
        <f>IF(
   T_Channel[[#This Row],[Check]]&lt;&gt;"OK",
   "",
   IF(
      T_Channel[[#This Row],[Query]]="",
      "Empty",
      "Defined"
   )
)</f>
        <v/>
      </c>
      <c r="Q1096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096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096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09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096" s="20" t="str">
        <f>IF(
   T_Channel[[#This Row],[Check]]&lt;&gt;"OK",
   "",
   T_Channel[[#This Row],[ChannelSymbol]] &amp; ".evtx"
)</f>
        <v/>
      </c>
      <c r="V1096" s="20" t="str">
        <f>IF(
   T_Channel[[#This Row],[Check]]&lt;&gt;"OK",
   "",
   T_Channel[[#This Row],[LogFolder]] &amp; "\" &amp; T_Channel[[#This Row],[LogFile]]
)</f>
        <v/>
      </c>
      <c r="W1096" s="20" t="str">
        <f>IF(
   T_Channel[[#This Row],[Safekeeping of logs]]="",
   "",
   VLOOKUP(T_Channel[[#This Row],[Safekeeping of logs]],T_List_LogMode[],2,FALSE)
)</f>
        <v/>
      </c>
      <c r="X1096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097" spans="2:24" x14ac:dyDescent="0.45">
      <c r="B1097" s="7"/>
      <c r="C1097" s="7"/>
      <c r="D1097" s="7"/>
      <c r="E1097" s="7"/>
      <c r="F1097" s="6"/>
      <c r="G1097" s="6"/>
      <c r="H1097" s="6"/>
      <c r="I1097" s="6"/>
      <c r="J1097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097" s="21"/>
      <c r="L1097" s="7"/>
      <c r="M1097" s="41"/>
      <c r="N1097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097" s="26" t="str">
        <f>IF(
   T_Channel[[#This Row],[ProviderName]]="",
   "",
   COUNTIF($N$12:$N$9982,T_Channel[[#This Row],[ProviderName]])
)</f>
        <v/>
      </c>
      <c r="P1097" s="26" t="str">
        <f>IF(
   T_Channel[[#This Row],[Check]]&lt;&gt;"OK",
   "",
   IF(
      T_Channel[[#This Row],[Query]]="",
      "Empty",
      "Defined"
   )
)</f>
        <v/>
      </c>
      <c r="Q1097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097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097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09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097" s="20" t="str">
        <f>IF(
   T_Channel[[#This Row],[Check]]&lt;&gt;"OK",
   "",
   T_Channel[[#This Row],[ChannelSymbol]] &amp; ".evtx"
)</f>
        <v/>
      </c>
      <c r="V1097" s="20" t="str">
        <f>IF(
   T_Channel[[#This Row],[Check]]&lt;&gt;"OK",
   "",
   T_Channel[[#This Row],[LogFolder]] &amp; "\" &amp; T_Channel[[#This Row],[LogFile]]
)</f>
        <v/>
      </c>
      <c r="W1097" s="20" t="str">
        <f>IF(
   T_Channel[[#This Row],[Safekeeping of logs]]="",
   "",
   VLOOKUP(T_Channel[[#This Row],[Safekeeping of logs]],T_List_LogMode[],2,FALSE)
)</f>
        <v/>
      </c>
      <c r="X1097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098" spans="2:24" x14ac:dyDescent="0.45">
      <c r="B1098" s="7"/>
      <c r="C1098" s="7"/>
      <c r="D1098" s="7"/>
      <c r="E1098" s="7"/>
      <c r="F1098" s="6"/>
      <c r="G1098" s="6"/>
      <c r="H1098" s="6"/>
      <c r="I1098" s="6"/>
      <c r="J1098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098" s="21"/>
      <c r="L1098" s="7"/>
      <c r="M1098" s="41"/>
      <c r="N1098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098" s="26" t="str">
        <f>IF(
   T_Channel[[#This Row],[ProviderName]]="",
   "",
   COUNTIF($N$12:$N$9982,T_Channel[[#This Row],[ProviderName]])
)</f>
        <v/>
      </c>
      <c r="P1098" s="26" t="str">
        <f>IF(
   T_Channel[[#This Row],[Check]]&lt;&gt;"OK",
   "",
   IF(
      T_Channel[[#This Row],[Query]]="",
      "Empty",
      "Defined"
   )
)</f>
        <v/>
      </c>
      <c r="Q1098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098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098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09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098" s="20" t="str">
        <f>IF(
   T_Channel[[#This Row],[Check]]&lt;&gt;"OK",
   "",
   T_Channel[[#This Row],[ChannelSymbol]] &amp; ".evtx"
)</f>
        <v/>
      </c>
      <c r="V1098" s="20" t="str">
        <f>IF(
   T_Channel[[#This Row],[Check]]&lt;&gt;"OK",
   "",
   T_Channel[[#This Row],[LogFolder]] &amp; "\" &amp; T_Channel[[#This Row],[LogFile]]
)</f>
        <v/>
      </c>
      <c r="W1098" s="20" t="str">
        <f>IF(
   T_Channel[[#This Row],[Safekeeping of logs]]="",
   "",
   VLOOKUP(T_Channel[[#This Row],[Safekeeping of logs]],T_List_LogMode[],2,FALSE)
)</f>
        <v/>
      </c>
      <c r="X1098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099" spans="2:24" x14ac:dyDescent="0.45">
      <c r="B1099" s="7"/>
      <c r="C1099" s="7"/>
      <c r="D1099" s="7"/>
      <c r="E1099" s="7"/>
      <c r="F1099" s="6"/>
      <c r="G1099" s="6"/>
      <c r="H1099" s="6"/>
      <c r="I1099" s="6"/>
      <c r="J1099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099" s="21"/>
      <c r="L1099" s="7"/>
      <c r="M1099" s="41"/>
      <c r="N1099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099" s="26" t="str">
        <f>IF(
   T_Channel[[#This Row],[ProviderName]]="",
   "",
   COUNTIF($N$12:$N$9982,T_Channel[[#This Row],[ProviderName]])
)</f>
        <v/>
      </c>
      <c r="P1099" s="26" t="str">
        <f>IF(
   T_Channel[[#This Row],[Check]]&lt;&gt;"OK",
   "",
   IF(
      T_Channel[[#This Row],[Query]]="",
      "Empty",
      "Defined"
   )
)</f>
        <v/>
      </c>
      <c r="Q1099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099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099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09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099" s="20" t="str">
        <f>IF(
   T_Channel[[#This Row],[Check]]&lt;&gt;"OK",
   "",
   T_Channel[[#This Row],[ChannelSymbol]] &amp; ".evtx"
)</f>
        <v/>
      </c>
      <c r="V1099" s="20" t="str">
        <f>IF(
   T_Channel[[#This Row],[Check]]&lt;&gt;"OK",
   "",
   T_Channel[[#This Row],[LogFolder]] &amp; "\" &amp; T_Channel[[#This Row],[LogFile]]
)</f>
        <v/>
      </c>
      <c r="W1099" s="20" t="str">
        <f>IF(
   T_Channel[[#This Row],[Safekeeping of logs]]="",
   "",
   VLOOKUP(T_Channel[[#This Row],[Safekeeping of logs]],T_List_LogMode[],2,FALSE)
)</f>
        <v/>
      </c>
      <c r="X1099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100" spans="2:24" x14ac:dyDescent="0.45">
      <c r="B1100" s="7"/>
      <c r="C1100" s="7"/>
      <c r="D1100" s="7"/>
      <c r="E1100" s="7"/>
      <c r="F1100" s="6"/>
      <c r="G1100" s="6"/>
      <c r="H1100" s="6"/>
      <c r="I1100" s="6"/>
      <c r="J1100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100" s="21"/>
      <c r="L1100" s="7"/>
      <c r="M1100" s="41"/>
      <c r="N1100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100" s="26" t="str">
        <f>IF(
   T_Channel[[#This Row],[ProviderName]]="",
   "",
   COUNTIF($N$12:$N$9982,T_Channel[[#This Row],[ProviderName]])
)</f>
        <v/>
      </c>
      <c r="P1100" s="26" t="str">
        <f>IF(
   T_Channel[[#This Row],[Check]]&lt;&gt;"OK",
   "",
   IF(
      T_Channel[[#This Row],[Query]]="",
      "Empty",
      "Defined"
   )
)</f>
        <v/>
      </c>
      <c r="Q1100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100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100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10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100" s="20" t="str">
        <f>IF(
   T_Channel[[#This Row],[Check]]&lt;&gt;"OK",
   "",
   T_Channel[[#This Row],[ChannelSymbol]] &amp; ".evtx"
)</f>
        <v/>
      </c>
      <c r="V1100" s="20" t="str">
        <f>IF(
   T_Channel[[#This Row],[Check]]&lt;&gt;"OK",
   "",
   T_Channel[[#This Row],[LogFolder]] &amp; "\" &amp; T_Channel[[#This Row],[LogFile]]
)</f>
        <v/>
      </c>
      <c r="W1100" s="20" t="str">
        <f>IF(
   T_Channel[[#This Row],[Safekeeping of logs]]="",
   "",
   VLOOKUP(T_Channel[[#This Row],[Safekeeping of logs]],T_List_LogMode[],2,FALSE)
)</f>
        <v/>
      </c>
      <c r="X1100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101" spans="2:24" x14ac:dyDescent="0.45">
      <c r="B1101" s="7"/>
      <c r="C1101" s="7"/>
      <c r="D1101" s="7"/>
      <c r="E1101" s="7"/>
      <c r="F1101" s="6"/>
      <c r="G1101" s="6"/>
      <c r="H1101" s="6"/>
      <c r="I1101" s="6"/>
      <c r="J1101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101" s="21"/>
      <c r="L1101" s="7"/>
      <c r="M1101" s="41"/>
      <c r="N1101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101" s="26" t="str">
        <f>IF(
   T_Channel[[#This Row],[ProviderName]]="",
   "",
   COUNTIF($N$12:$N$9982,T_Channel[[#This Row],[ProviderName]])
)</f>
        <v/>
      </c>
      <c r="P1101" s="26" t="str">
        <f>IF(
   T_Channel[[#This Row],[Check]]&lt;&gt;"OK",
   "",
   IF(
      T_Channel[[#This Row],[Query]]="",
      "Empty",
      "Defined"
   )
)</f>
        <v/>
      </c>
      <c r="Q1101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101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101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10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101" s="20" t="str">
        <f>IF(
   T_Channel[[#This Row],[Check]]&lt;&gt;"OK",
   "",
   T_Channel[[#This Row],[ChannelSymbol]] &amp; ".evtx"
)</f>
        <v/>
      </c>
      <c r="V1101" s="20" t="str">
        <f>IF(
   T_Channel[[#This Row],[Check]]&lt;&gt;"OK",
   "",
   T_Channel[[#This Row],[LogFolder]] &amp; "\" &amp; T_Channel[[#This Row],[LogFile]]
)</f>
        <v/>
      </c>
      <c r="W1101" s="20" t="str">
        <f>IF(
   T_Channel[[#This Row],[Safekeeping of logs]]="",
   "",
   VLOOKUP(T_Channel[[#This Row],[Safekeeping of logs]],T_List_LogMode[],2,FALSE)
)</f>
        <v/>
      </c>
      <c r="X1101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102" spans="2:24" x14ac:dyDescent="0.45">
      <c r="B1102" s="7"/>
      <c r="C1102" s="7"/>
      <c r="D1102" s="7"/>
      <c r="E1102" s="7"/>
      <c r="F1102" s="6"/>
      <c r="G1102" s="6"/>
      <c r="H1102" s="6"/>
      <c r="I1102" s="6"/>
      <c r="J1102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102" s="21"/>
      <c r="L1102" s="7"/>
      <c r="M1102" s="41"/>
      <c r="N1102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102" s="26" t="str">
        <f>IF(
   T_Channel[[#This Row],[ProviderName]]="",
   "",
   COUNTIF($N$12:$N$9982,T_Channel[[#This Row],[ProviderName]])
)</f>
        <v/>
      </c>
      <c r="P1102" s="26" t="str">
        <f>IF(
   T_Channel[[#This Row],[Check]]&lt;&gt;"OK",
   "",
   IF(
      T_Channel[[#This Row],[Query]]="",
      "Empty",
      "Defined"
   )
)</f>
        <v/>
      </c>
      <c r="Q1102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102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102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10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102" s="20" t="str">
        <f>IF(
   T_Channel[[#This Row],[Check]]&lt;&gt;"OK",
   "",
   T_Channel[[#This Row],[ChannelSymbol]] &amp; ".evtx"
)</f>
        <v/>
      </c>
      <c r="V1102" s="20" t="str">
        <f>IF(
   T_Channel[[#This Row],[Check]]&lt;&gt;"OK",
   "",
   T_Channel[[#This Row],[LogFolder]] &amp; "\" &amp; T_Channel[[#This Row],[LogFile]]
)</f>
        <v/>
      </c>
      <c r="W1102" s="20" t="str">
        <f>IF(
   T_Channel[[#This Row],[Safekeeping of logs]]="",
   "",
   VLOOKUP(T_Channel[[#This Row],[Safekeeping of logs]],T_List_LogMode[],2,FALSE)
)</f>
        <v/>
      </c>
      <c r="X1102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103" spans="2:24" x14ac:dyDescent="0.45">
      <c r="B1103" s="7"/>
      <c r="C1103" s="7"/>
      <c r="D1103" s="7"/>
      <c r="E1103" s="7"/>
      <c r="F1103" s="6"/>
      <c r="G1103" s="6"/>
      <c r="H1103" s="6"/>
      <c r="I1103" s="6"/>
      <c r="J1103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103" s="21"/>
      <c r="L1103" s="7"/>
      <c r="M1103" s="41"/>
      <c r="N1103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103" s="26" t="str">
        <f>IF(
   T_Channel[[#This Row],[ProviderName]]="",
   "",
   COUNTIF($N$12:$N$9982,T_Channel[[#This Row],[ProviderName]])
)</f>
        <v/>
      </c>
      <c r="P1103" s="26" t="str">
        <f>IF(
   T_Channel[[#This Row],[Check]]&lt;&gt;"OK",
   "",
   IF(
      T_Channel[[#This Row],[Query]]="",
      "Empty",
      "Defined"
   )
)</f>
        <v/>
      </c>
      <c r="Q1103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103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103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10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103" s="20" t="str">
        <f>IF(
   T_Channel[[#This Row],[Check]]&lt;&gt;"OK",
   "",
   T_Channel[[#This Row],[ChannelSymbol]] &amp; ".evtx"
)</f>
        <v/>
      </c>
      <c r="V1103" s="20" t="str">
        <f>IF(
   T_Channel[[#This Row],[Check]]&lt;&gt;"OK",
   "",
   T_Channel[[#This Row],[LogFolder]] &amp; "\" &amp; T_Channel[[#This Row],[LogFile]]
)</f>
        <v/>
      </c>
      <c r="W1103" s="20" t="str">
        <f>IF(
   T_Channel[[#This Row],[Safekeeping of logs]]="",
   "",
   VLOOKUP(T_Channel[[#This Row],[Safekeeping of logs]],T_List_LogMode[],2,FALSE)
)</f>
        <v/>
      </c>
      <c r="X1103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104" spans="2:24" x14ac:dyDescent="0.45">
      <c r="B1104" s="7"/>
      <c r="C1104" s="7"/>
      <c r="D1104" s="7"/>
      <c r="E1104" s="7"/>
      <c r="F1104" s="6"/>
      <c r="G1104" s="6"/>
      <c r="H1104" s="6"/>
      <c r="I1104" s="6"/>
      <c r="J1104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104" s="21"/>
      <c r="L1104" s="7"/>
      <c r="M1104" s="41"/>
      <c r="N1104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104" s="26" t="str">
        <f>IF(
   T_Channel[[#This Row],[ProviderName]]="",
   "",
   COUNTIF($N$12:$N$9982,T_Channel[[#This Row],[ProviderName]])
)</f>
        <v/>
      </c>
      <c r="P1104" s="26" t="str">
        <f>IF(
   T_Channel[[#This Row],[Check]]&lt;&gt;"OK",
   "",
   IF(
      T_Channel[[#This Row],[Query]]="",
      "Empty",
      "Defined"
   )
)</f>
        <v/>
      </c>
      <c r="Q1104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104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104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10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104" s="20" t="str">
        <f>IF(
   T_Channel[[#This Row],[Check]]&lt;&gt;"OK",
   "",
   T_Channel[[#This Row],[ChannelSymbol]] &amp; ".evtx"
)</f>
        <v/>
      </c>
      <c r="V1104" s="20" t="str">
        <f>IF(
   T_Channel[[#This Row],[Check]]&lt;&gt;"OK",
   "",
   T_Channel[[#This Row],[LogFolder]] &amp; "\" &amp; T_Channel[[#This Row],[LogFile]]
)</f>
        <v/>
      </c>
      <c r="W1104" s="20" t="str">
        <f>IF(
   T_Channel[[#This Row],[Safekeeping of logs]]="",
   "",
   VLOOKUP(T_Channel[[#This Row],[Safekeeping of logs]],T_List_LogMode[],2,FALSE)
)</f>
        <v/>
      </c>
      <c r="X1104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105" spans="2:24" x14ac:dyDescent="0.45">
      <c r="B1105" s="7"/>
      <c r="C1105" s="7"/>
      <c r="D1105" s="7"/>
      <c r="E1105" s="7"/>
      <c r="F1105" s="6"/>
      <c r="G1105" s="6"/>
      <c r="H1105" s="6"/>
      <c r="I1105" s="6"/>
      <c r="J1105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105" s="21"/>
      <c r="L1105" s="7"/>
      <c r="M1105" s="41"/>
      <c r="N1105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105" s="26" t="str">
        <f>IF(
   T_Channel[[#This Row],[ProviderName]]="",
   "",
   COUNTIF($N$12:$N$9982,T_Channel[[#This Row],[ProviderName]])
)</f>
        <v/>
      </c>
      <c r="P1105" s="26" t="str">
        <f>IF(
   T_Channel[[#This Row],[Check]]&lt;&gt;"OK",
   "",
   IF(
      T_Channel[[#This Row],[Query]]="",
      "Empty",
      "Defined"
   )
)</f>
        <v/>
      </c>
      <c r="Q1105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105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105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10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105" s="20" t="str">
        <f>IF(
   T_Channel[[#This Row],[Check]]&lt;&gt;"OK",
   "",
   T_Channel[[#This Row],[ChannelSymbol]] &amp; ".evtx"
)</f>
        <v/>
      </c>
      <c r="V1105" s="20" t="str">
        <f>IF(
   T_Channel[[#This Row],[Check]]&lt;&gt;"OK",
   "",
   T_Channel[[#This Row],[LogFolder]] &amp; "\" &amp; T_Channel[[#This Row],[LogFile]]
)</f>
        <v/>
      </c>
      <c r="W1105" s="20" t="str">
        <f>IF(
   T_Channel[[#This Row],[Safekeeping of logs]]="",
   "",
   VLOOKUP(T_Channel[[#This Row],[Safekeeping of logs]],T_List_LogMode[],2,FALSE)
)</f>
        <v/>
      </c>
      <c r="X1105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106" spans="2:24" x14ac:dyDescent="0.45">
      <c r="B1106" s="7"/>
      <c r="C1106" s="7"/>
      <c r="D1106" s="7"/>
      <c r="E1106" s="7"/>
      <c r="F1106" s="6"/>
      <c r="G1106" s="6"/>
      <c r="H1106" s="6"/>
      <c r="I1106" s="6"/>
      <c r="J1106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106" s="21"/>
      <c r="L1106" s="7"/>
      <c r="M1106" s="41"/>
      <c r="N1106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106" s="26" t="str">
        <f>IF(
   T_Channel[[#This Row],[ProviderName]]="",
   "",
   COUNTIF($N$12:$N$9982,T_Channel[[#This Row],[ProviderName]])
)</f>
        <v/>
      </c>
      <c r="P1106" s="26" t="str">
        <f>IF(
   T_Channel[[#This Row],[Check]]&lt;&gt;"OK",
   "",
   IF(
      T_Channel[[#This Row],[Query]]="",
      "Empty",
      "Defined"
   )
)</f>
        <v/>
      </c>
      <c r="Q1106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106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106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10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106" s="20" t="str">
        <f>IF(
   T_Channel[[#This Row],[Check]]&lt;&gt;"OK",
   "",
   T_Channel[[#This Row],[ChannelSymbol]] &amp; ".evtx"
)</f>
        <v/>
      </c>
      <c r="V1106" s="20" t="str">
        <f>IF(
   T_Channel[[#This Row],[Check]]&lt;&gt;"OK",
   "",
   T_Channel[[#This Row],[LogFolder]] &amp; "\" &amp; T_Channel[[#This Row],[LogFile]]
)</f>
        <v/>
      </c>
      <c r="W1106" s="20" t="str">
        <f>IF(
   T_Channel[[#This Row],[Safekeeping of logs]]="",
   "",
   VLOOKUP(T_Channel[[#This Row],[Safekeeping of logs]],T_List_LogMode[],2,FALSE)
)</f>
        <v/>
      </c>
      <c r="X1106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107" spans="2:24" x14ac:dyDescent="0.45">
      <c r="B1107" s="7"/>
      <c r="C1107" s="7"/>
      <c r="D1107" s="7"/>
      <c r="E1107" s="7"/>
      <c r="F1107" s="6"/>
      <c r="G1107" s="6"/>
      <c r="H1107" s="6"/>
      <c r="I1107" s="6"/>
      <c r="J1107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107" s="21"/>
      <c r="L1107" s="7"/>
      <c r="M1107" s="41"/>
      <c r="N1107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107" s="26" t="str">
        <f>IF(
   T_Channel[[#This Row],[ProviderName]]="",
   "",
   COUNTIF($N$12:$N$9982,T_Channel[[#This Row],[ProviderName]])
)</f>
        <v/>
      </c>
      <c r="P1107" s="26" t="str">
        <f>IF(
   T_Channel[[#This Row],[Check]]&lt;&gt;"OK",
   "",
   IF(
      T_Channel[[#This Row],[Query]]="",
      "Empty",
      "Defined"
   )
)</f>
        <v/>
      </c>
      <c r="Q1107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107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107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10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107" s="20" t="str">
        <f>IF(
   T_Channel[[#This Row],[Check]]&lt;&gt;"OK",
   "",
   T_Channel[[#This Row],[ChannelSymbol]] &amp; ".evtx"
)</f>
        <v/>
      </c>
      <c r="V1107" s="20" t="str">
        <f>IF(
   T_Channel[[#This Row],[Check]]&lt;&gt;"OK",
   "",
   T_Channel[[#This Row],[LogFolder]] &amp; "\" &amp; T_Channel[[#This Row],[LogFile]]
)</f>
        <v/>
      </c>
      <c r="W1107" s="20" t="str">
        <f>IF(
   T_Channel[[#This Row],[Safekeeping of logs]]="",
   "",
   VLOOKUP(T_Channel[[#This Row],[Safekeeping of logs]],T_List_LogMode[],2,FALSE)
)</f>
        <v/>
      </c>
      <c r="X1107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108" spans="2:24" x14ac:dyDescent="0.45">
      <c r="B1108" s="7"/>
      <c r="C1108" s="7"/>
      <c r="D1108" s="7"/>
      <c r="E1108" s="7"/>
      <c r="F1108" s="6"/>
      <c r="G1108" s="6"/>
      <c r="H1108" s="6"/>
      <c r="I1108" s="6"/>
      <c r="J1108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108" s="21"/>
      <c r="L1108" s="7"/>
      <c r="M1108" s="41"/>
      <c r="N1108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108" s="26" t="str">
        <f>IF(
   T_Channel[[#This Row],[ProviderName]]="",
   "",
   COUNTIF($N$12:$N$9982,T_Channel[[#This Row],[ProviderName]])
)</f>
        <v/>
      </c>
      <c r="P1108" s="26" t="str">
        <f>IF(
   T_Channel[[#This Row],[Check]]&lt;&gt;"OK",
   "",
   IF(
      T_Channel[[#This Row],[Query]]="",
      "Empty",
      "Defined"
   )
)</f>
        <v/>
      </c>
      <c r="Q1108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108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108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10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108" s="20" t="str">
        <f>IF(
   T_Channel[[#This Row],[Check]]&lt;&gt;"OK",
   "",
   T_Channel[[#This Row],[ChannelSymbol]] &amp; ".evtx"
)</f>
        <v/>
      </c>
      <c r="V1108" s="20" t="str">
        <f>IF(
   T_Channel[[#This Row],[Check]]&lt;&gt;"OK",
   "",
   T_Channel[[#This Row],[LogFolder]] &amp; "\" &amp; T_Channel[[#This Row],[LogFile]]
)</f>
        <v/>
      </c>
      <c r="W1108" s="20" t="str">
        <f>IF(
   T_Channel[[#This Row],[Safekeeping of logs]]="",
   "",
   VLOOKUP(T_Channel[[#This Row],[Safekeeping of logs]],T_List_LogMode[],2,FALSE)
)</f>
        <v/>
      </c>
      <c r="X1108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109" spans="2:24" x14ac:dyDescent="0.45">
      <c r="B1109" s="7"/>
      <c r="C1109" s="7"/>
      <c r="D1109" s="7"/>
      <c r="E1109" s="7"/>
      <c r="F1109" s="6"/>
      <c r="G1109" s="6"/>
      <c r="H1109" s="6"/>
      <c r="I1109" s="6"/>
      <c r="J1109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109" s="21"/>
      <c r="L1109" s="7"/>
      <c r="M1109" s="41"/>
      <c r="N1109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109" s="26" t="str">
        <f>IF(
   T_Channel[[#This Row],[ProviderName]]="",
   "",
   COUNTIF($N$12:$N$9982,T_Channel[[#This Row],[ProviderName]])
)</f>
        <v/>
      </c>
      <c r="P1109" s="26" t="str">
        <f>IF(
   T_Channel[[#This Row],[Check]]&lt;&gt;"OK",
   "",
   IF(
      T_Channel[[#This Row],[Query]]="",
      "Empty",
      "Defined"
   )
)</f>
        <v/>
      </c>
      <c r="Q1109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109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109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10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109" s="20" t="str">
        <f>IF(
   T_Channel[[#This Row],[Check]]&lt;&gt;"OK",
   "",
   T_Channel[[#This Row],[ChannelSymbol]] &amp; ".evtx"
)</f>
        <v/>
      </c>
      <c r="V1109" s="20" t="str">
        <f>IF(
   T_Channel[[#This Row],[Check]]&lt;&gt;"OK",
   "",
   T_Channel[[#This Row],[LogFolder]] &amp; "\" &amp; T_Channel[[#This Row],[LogFile]]
)</f>
        <v/>
      </c>
      <c r="W1109" s="20" t="str">
        <f>IF(
   T_Channel[[#This Row],[Safekeeping of logs]]="",
   "",
   VLOOKUP(T_Channel[[#This Row],[Safekeeping of logs]],T_List_LogMode[],2,FALSE)
)</f>
        <v/>
      </c>
      <c r="X1109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110" spans="2:24" x14ac:dyDescent="0.45">
      <c r="B1110" s="7"/>
      <c r="C1110" s="7"/>
      <c r="D1110" s="7"/>
      <c r="E1110" s="7"/>
      <c r="F1110" s="6"/>
      <c r="G1110" s="6"/>
      <c r="H1110" s="6"/>
      <c r="I1110" s="6"/>
      <c r="J1110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110" s="21"/>
      <c r="L1110" s="7"/>
      <c r="M1110" s="41"/>
      <c r="N1110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110" s="26" t="str">
        <f>IF(
   T_Channel[[#This Row],[ProviderName]]="",
   "",
   COUNTIF($N$12:$N$9982,T_Channel[[#This Row],[ProviderName]])
)</f>
        <v/>
      </c>
      <c r="P1110" s="26" t="str">
        <f>IF(
   T_Channel[[#This Row],[Check]]&lt;&gt;"OK",
   "",
   IF(
      T_Channel[[#This Row],[Query]]="",
      "Empty",
      "Defined"
   )
)</f>
        <v/>
      </c>
      <c r="Q1110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110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110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11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110" s="20" t="str">
        <f>IF(
   T_Channel[[#This Row],[Check]]&lt;&gt;"OK",
   "",
   T_Channel[[#This Row],[ChannelSymbol]] &amp; ".evtx"
)</f>
        <v/>
      </c>
      <c r="V1110" s="20" t="str">
        <f>IF(
   T_Channel[[#This Row],[Check]]&lt;&gt;"OK",
   "",
   T_Channel[[#This Row],[LogFolder]] &amp; "\" &amp; T_Channel[[#This Row],[LogFile]]
)</f>
        <v/>
      </c>
      <c r="W1110" s="20" t="str">
        <f>IF(
   T_Channel[[#This Row],[Safekeeping of logs]]="",
   "",
   VLOOKUP(T_Channel[[#This Row],[Safekeeping of logs]],T_List_LogMode[],2,FALSE)
)</f>
        <v/>
      </c>
      <c r="X1110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111" spans="2:24" x14ac:dyDescent="0.45">
      <c r="B1111" s="7"/>
      <c r="C1111" s="7"/>
      <c r="D1111" s="7"/>
      <c r="E1111" s="7"/>
      <c r="F1111" s="6"/>
      <c r="G1111" s="6"/>
      <c r="H1111" s="6"/>
      <c r="I1111" s="6"/>
      <c r="J1111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111" s="21"/>
      <c r="L1111" s="7"/>
      <c r="M1111" s="41"/>
      <c r="N1111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111" s="26" t="str">
        <f>IF(
   T_Channel[[#This Row],[ProviderName]]="",
   "",
   COUNTIF($N$12:$N$9982,T_Channel[[#This Row],[ProviderName]])
)</f>
        <v/>
      </c>
      <c r="P1111" s="26" t="str">
        <f>IF(
   T_Channel[[#This Row],[Check]]&lt;&gt;"OK",
   "",
   IF(
      T_Channel[[#This Row],[Query]]="",
      "Empty",
      "Defined"
   )
)</f>
        <v/>
      </c>
      <c r="Q1111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111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111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11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111" s="20" t="str">
        <f>IF(
   T_Channel[[#This Row],[Check]]&lt;&gt;"OK",
   "",
   T_Channel[[#This Row],[ChannelSymbol]] &amp; ".evtx"
)</f>
        <v/>
      </c>
      <c r="V1111" s="20" t="str">
        <f>IF(
   T_Channel[[#This Row],[Check]]&lt;&gt;"OK",
   "",
   T_Channel[[#This Row],[LogFolder]] &amp; "\" &amp; T_Channel[[#This Row],[LogFile]]
)</f>
        <v/>
      </c>
      <c r="W1111" s="20" t="str">
        <f>IF(
   T_Channel[[#This Row],[Safekeeping of logs]]="",
   "",
   VLOOKUP(T_Channel[[#This Row],[Safekeeping of logs]],T_List_LogMode[],2,FALSE)
)</f>
        <v/>
      </c>
      <c r="X1111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112" spans="2:24" x14ac:dyDescent="0.45">
      <c r="B1112" s="7"/>
      <c r="C1112" s="7"/>
      <c r="D1112" s="7"/>
      <c r="E1112" s="7"/>
      <c r="F1112" s="6"/>
      <c r="G1112" s="6"/>
      <c r="H1112" s="6"/>
      <c r="I1112" s="6"/>
      <c r="J1112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112" s="21"/>
      <c r="L1112" s="7"/>
      <c r="M1112" s="41"/>
      <c r="N1112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112" s="26" t="str">
        <f>IF(
   T_Channel[[#This Row],[ProviderName]]="",
   "",
   COUNTIF($N$12:$N$9982,T_Channel[[#This Row],[ProviderName]])
)</f>
        <v/>
      </c>
      <c r="P1112" s="26" t="str">
        <f>IF(
   T_Channel[[#This Row],[Check]]&lt;&gt;"OK",
   "",
   IF(
      T_Channel[[#This Row],[Query]]="",
      "Empty",
      "Defined"
   )
)</f>
        <v/>
      </c>
      <c r="Q1112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112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112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11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112" s="20" t="str">
        <f>IF(
   T_Channel[[#This Row],[Check]]&lt;&gt;"OK",
   "",
   T_Channel[[#This Row],[ChannelSymbol]] &amp; ".evtx"
)</f>
        <v/>
      </c>
      <c r="V1112" s="20" t="str">
        <f>IF(
   T_Channel[[#This Row],[Check]]&lt;&gt;"OK",
   "",
   T_Channel[[#This Row],[LogFolder]] &amp; "\" &amp; T_Channel[[#This Row],[LogFile]]
)</f>
        <v/>
      </c>
      <c r="W1112" s="20" t="str">
        <f>IF(
   T_Channel[[#This Row],[Safekeeping of logs]]="",
   "",
   VLOOKUP(T_Channel[[#This Row],[Safekeeping of logs]],T_List_LogMode[],2,FALSE)
)</f>
        <v/>
      </c>
      <c r="X1112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113" spans="2:24" x14ac:dyDescent="0.45">
      <c r="B1113" s="7"/>
      <c r="C1113" s="7"/>
      <c r="D1113" s="7"/>
      <c r="E1113" s="7"/>
      <c r="F1113" s="6"/>
      <c r="G1113" s="6"/>
      <c r="H1113" s="6"/>
      <c r="I1113" s="6"/>
      <c r="J1113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113" s="21"/>
      <c r="L1113" s="7"/>
      <c r="M1113" s="41"/>
      <c r="N1113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113" s="26" t="str">
        <f>IF(
   T_Channel[[#This Row],[ProviderName]]="",
   "",
   COUNTIF($N$12:$N$9982,T_Channel[[#This Row],[ProviderName]])
)</f>
        <v/>
      </c>
      <c r="P1113" s="26" t="str">
        <f>IF(
   T_Channel[[#This Row],[Check]]&lt;&gt;"OK",
   "",
   IF(
      T_Channel[[#This Row],[Query]]="",
      "Empty",
      "Defined"
   )
)</f>
        <v/>
      </c>
      <c r="Q1113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113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113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11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113" s="20" t="str">
        <f>IF(
   T_Channel[[#This Row],[Check]]&lt;&gt;"OK",
   "",
   T_Channel[[#This Row],[ChannelSymbol]] &amp; ".evtx"
)</f>
        <v/>
      </c>
      <c r="V1113" s="20" t="str">
        <f>IF(
   T_Channel[[#This Row],[Check]]&lt;&gt;"OK",
   "",
   T_Channel[[#This Row],[LogFolder]] &amp; "\" &amp; T_Channel[[#This Row],[LogFile]]
)</f>
        <v/>
      </c>
      <c r="W1113" s="20" t="str">
        <f>IF(
   T_Channel[[#This Row],[Safekeeping of logs]]="",
   "",
   VLOOKUP(T_Channel[[#This Row],[Safekeeping of logs]],T_List_LogMode[],2,FALSE)
)</f>
        <v/>
      </c>
      <c r="X1113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114" spans="2:24" x14ac:dyDescent="0.45">
      <c r="B1114" s="7"/>
      <c r="C1114" s="7"/>
      <c r="D1114" s="7"/>
      <c r="E1114" s="7"/>
      <c r="F1114" s="6"/>
      <c r="G1114" s="6"/>
      <c r="H1114" s="6"/>
      <c r="I1114" s="6"/>
      <c r="J1114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114" s="21"/>
      <c r="L1114" s="7"/>
      <c r="M1114" s="41"/>
      <c r="N1114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114" s="26" t="str">
        <f>IF(
   T_Channel[[#This Row],[ProviderName]]="",
   "",
   COUNTIF($N$12:$N$9982,T_Channel[[#This Row],[ProviderName]])
)</f>
        <v/>
      </c>
      <c r="P1114" s="26" t="str">
        <f>IF(
   T_Channel[[#This Row],[Check]]&lt;&gt;"OK",
   "",
   IF(
      T_Channel[[#This Row],[Query]]="",
      "Empty",
      "Defined"
   )
)</f>
        <v/>
      </c>
      <c r="Q1114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114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114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11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114" s="20" t="str">
        <f>IF(
   T_Channel[[#This Row],[Check]]&lt;&gt;"OK",
   "",
   T_Channel[[#This Row],[ChannelSymbol]] &amp; ".evtx"
)</f>
        <v/>
      </c>
      <c r="V1114" s="20" t="str">
        <f>IF(
   T_Channel[[#This Row],[Check]]&lt;&gt;"OK",
   "",
   T_Channel[[#This Row],[LogFolder]] &amp; "\" &amp; T_Channel[[#This Row],[LogFile]]
)</f>
        <v/>
      </c>
      <c r="W1114" s="20" t="str">
        <f>IF(
   T_Channel[[#This Row],[Safekeeping of logs]]="",
   "",
   VLOOKUP(T_Channel[[#This Row],[Safekeeping of logs]],T_List_LogMode[],2,FALSE)
)</f>
        <v/>
      </c>
      <c r="X1114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115" spans="2:24" x14ac:dyDescent="0.45">
      <c r="B1115" s="7"/>
      <c r="C1115" s="7"/>
      <c r="D1115" s="7"/>
      <c r="E1115" s="7"/>
      <c r="F1115" s="6"/>
      <c r="G1115" s="6"/>
      <c r="H1115" s="6"/>
      <c r="I1115" s="6"/>
      <c r="J1115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115" s="21"/>
      <c r="L1115" s="7"/>
      <c r="M1115" s="41"/>
      <c r="N1115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115" s="26" t="str">
        <f>IF(
   T_Channel[[#This Row],[ProviderName]]="",
   "",
   COUNTIF($N$12:$N$9982,T_Channel[[#This Row],[ProviderName]])
)</f>
        <v/>
      </c>
      <c r="P1115" s="26" t="str">
        <f>IF(
   T_Channel[[#This Row],[Check]]&lt;&gt;"OK",
   "",
   IF(
      T_Channel[[#This Row],[Query]]="",
      "Empty",
      "Defined"
   )
)</f>
        <v/>
      </c>
      <c r="Q1115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115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115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11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115" s="20" t="str">
        <f>IF(
   T_Channel[[#This Row],[Check]]&lt;&gt;"OK",
   "",
   T_Channel[[#This Row],[ChannelSymbol]] &amp; ".evtx"
)</f>
        <v/>
      </c>
      <c r="V1115" s="20" t="str">
        <f>IF(
   T_Channel[[#This Row],[Check]]&lt;&gt;"OK",
   "",
   T_Channel[[#This Row],[LogFolder]] &amp; "\" &amp; T_Channel[[#This Row],[LogFile]]
)</f>
        <v/>
      </c>
      <c r="W1115" s="20" t="str">
        <f>IF(
   T_Channel[[#This Row],[Safekeeping of logs]]="",
   "",
   VLOOKUP(T_Channel[[#This Row],[Safekeeping of logs]],T_List_LogMode[],2,FALSE)
)</f>
        <v/>
      </c>
      <c r="X1115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116" spans="2:24" x14ac:dyDescent="0.45">
      <c r="B1116" s="7"/>
      <c r="C1116" s="7"/>
      <c r="D1116" s="7"/>
      <c r="E1116" s="7"/>
      <c r="F1116" s="6"/>
      <c r="G1116" s="6"/>
      <c r="H1116" s="6"/>
      <c r="I1116" s="6"/>
      <c r="J1116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116" s="21"/>
      <c r="L1116" s="7"/>
      <c r="M1116" s="41"/>
      <c r="N1116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116" s="26" t="str">
        <f>IF(
   T_Channel[[#This Row],[ProviderName]]="",
   "",
   COUNTIF($N$12:$N$9982,T_Channel[[#This Row],[ProviderName]])
)</f>
        <v/>
      </c>
      <c r="P1116" s="26" t="str">
        <f>IF(
   T_Channel[[#This Row],[Check]]&lt;&gt;"OK",
   "",
   IF(
      T_Channel[[#This Row],[Query]]="",
      "Empty",
      "Defined"
   )
)</f>
        <v/>
      </c>
      <c r="Q1116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116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116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11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116" s="20" t="str">
        <f>IF(
   T_Channel[[#This Row],[Check]]&lt;&gt;"OK",
   "",
   T_Channel[[#This Row],[ChannelSymbol]] &amp; ".evtx"
)</f>
        <v/>
      </c>
      <c r="V1116" s="20" t="str">
        <f>IF(
   T_Channel[[#This Row],[Check]]&lt;&gt;"OK",
   "",
   T_Channel[[#This Row],[LogFolder]] &amp; "\" &amp; T_Channel[[#This Row],[LogFile]]
)</f>
        <v/>
      </c>
      <c r="W1116" s="20" t="str">
        <f>IF(
   T_Channel[[#This Row],[Safekeeping of logs]]="",
   "",
   VLOOKUP(T_Channel[[#This Row],[Safekeeping of logs]],T_List_LogMode[],2,FALSE)
)</f>
        <v/>
      </c>
      <c r="X1116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117" spans="2:24" x14ac:dyDescent="0.45">
      <c r="B1117" s="7"/>
      <c r="C1117" s="7"/>
      <c r="D1117" s="7"/>
      <c r="E1117" s="7"/>
      <c r="F1117" s="6"/>
      <c r="G1117" s="6"/>
      <c r="H1117" s="6"/>
      <c r="I1117" s="6"/>
      <c r="J1117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117" s="21"/>
      <c r="L1117" s="7"/>
      <c r="M1117" s="41"/>
      <c r="N1117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117" s="26" t="str">
        <f>IF(
   T_Channel[[#This Row],[ProviderName]]="",
   "",
   COUNTIF($N$12:$N$9982,T_Channel[[#This Row],[ProviderName]])
)</f>
        <v/>
      </c>
      <c r="P1117" s="26" t="str">
        <f>IF(
   T_Channel[[#This Row],[Check]]&lt;&gt;"OK",
   "",
   IF(
      T_Channel[[#This Row],[Query]]="",
      "Empty",
      "Defined"
   )
)</f>
        <v/>
      </c>
      <c r="Q1117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117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117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11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117" s="20" t="str">
        <f>IF(
   T_Channel[[#This Row],[Check]]&lt;&gt;"OK",
   "",
   T_Channel[[#This Row],[ChannelSymbol]] &amp; ".evtx"
)</f>
        <v/>
      </c>
      <c r="V1117" s="20" t="str">
        <f>IF(
   T_Channel[[#This Row],[Check]]&lt;&gt;"OK",
   "",
   T_Channel[[#This Row],[LogFolder]] &amp; "\" &amp; T_Channel[[#This Row],[LogFile]]
)</f>
        <v/>
      </c>
      <c r="W1117" s="20" t="str">
        <f>IF(
   T_Channel[[#This Row],[Safekeeping of logs]]="",
   "",
   VLOOKUP(T_Channel[[#This Row],[Safekeeping of logs]],T_List_LogMode[],2,FALSE)
)</f>
        <v/>
      </c>
      <c r="X1117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118" spans="2:24" x14ac:dyDescent="0.45">
      <c r="B1118" s="7"/>
      <c r="C1118" s="7"/>
      <c r="D1118" s="7"/>
      <c r="E1118" s="7"/>
      <c r="F1118" s="6"/>
      <c r="G1118" s="6"/>
      <c r="H1118" s="6"/>
      <c r="I1118" s="6"/>
      <c r="J1118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118" s="21"/>
      <c r="L1118" s="7"/>
      <c r="M1118" s="41"/>
      <c r="N1118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118" s="26" t="str">
        <f>IF(
   T_Channel[[#This Row],[ProviderName]]="",
   "",
   COUNTIF($N$12:$N$9982,T_Channel[[#This Row],[ProviderName]])
)</f>
        <v/>
      </c>
      <c r="P1118" s="26" t="str">
        <f>IF(
   T_Channel[[#This Row],[Check]]&lt;&gt;"OK",
   "",
   IF(
      T_Channel[[#This Row],[Query]]="",
      "Empty",
      "Defined"
   )
)</f>
        <v/>
      </c>
      <c r="Q1118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118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118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11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118" s="20" t="str">
        <f>IF(
   T_Channel[[#This Row],[Check]]&lt;&gt;"OK",
   "",
   T_Channel[[#This Row],[ChannelSymbol]] &amp; ".evtx"
)</f>
        <v/>
      </c>
      <c r="V1118" s="20" t="str">
        <f>IF(
   T_Channel[[#This Row],[Check]]&lt;&gt;"OK",
   "",
   T_Channel[[#This Row],[LogFolder]] &amp; "\" &amp; T_Channel[[#This Row],[LogFile]]
)</f>
        <v/>
      </c>
      <c r="W1118" s="20" t="str">
        <f>IF(
   T_Channel[[#This Row],[Safekeeping of logs]]="",
   "",
   VLOOKUP(T_Channel[[#This Row],[Safekeeping of logs]],T_List_LogMode[],2,FALSE)
)</f>
        <v/>
      </c>
      <c r="X1118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119" spans="2:24" x14ac:dyDescent="0.45">
      <c r="B1119" s="7"/>
      <c r="C1119" s="7"/>
      <c r="D1119" s="7"/>
      <c r="E1119" s="7"/>
      <c r="F1119" s="6"/>
      <c r="G1119" s="6"/>
      <c r="H1119" s="6"/>
      <c r="I1119" s="6"/>
      <c r="J1119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119" s="21"/>
      <c r="L1119" s="7"/>
      <c r="M1119" s="41"/>
      <c r="N1119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119" s="26" t="str">
        <f>IF(
   T_Channel[[#This Row],[ProviderName]]="",
   "",
   COUNTIF($N$12:$N$9982,T_Channel[[#This Row],[ProviderName]])
)</f>
        <v/>
      </c>
      <c r="P1119" s="26" t="str">
        <f>IF(
   T_Channel[[#This Row],[Check]]&lt;&gt;"OK",
   "",
   IF(
      T_Channel[[#This Row],[Query]]="",
      "Empty",
      "Defined"
   )
)</f>
        <v/>
      </c>
      <c r="Q1119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119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119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11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119" s="20" t="str">
        <f>IF(
   T_Channel[[#This Row],[Check]]&lt;&gt;"OK",
   "",
   T_Channel[[#This Row],[ChannelSymbol]] &amp; ".evtx"
)</f>
        <v/>
      </c>
      <c r="V1119" s="20" t="str">
        <f>IF(
   T_Channel[[#This Row],[Check]]&lt;&gt;"OK",
   "",
   T_Channel[[#This Row],[LogFolder]] &amp; "\" &amp; T_Channel[[#This Row],[LogFile]]
)</f>
        <v/>
      </c>
      <c r="W1119" s="20" t="str">
        <f>IF(
   T_Channel[[#This Row],[Safekeeping of logs]]="",
   "",
   VLOOKUP(T_Channel[[#This Row],[Safekeeping of logs]],T_List_LogMode[],2,FALSE)
)</f>
        <v/>
      </c>
      <c r="X1119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120" spans="2:24" x14ac:dyDescent="0.45">
      <c r="B1120" s="7"/>
      <c r="C1120" s="7"/>
      <c r="D1120" s="7"/>
      <c r="E1120" s="7"/>
      <c r="F1120" s="6"/>
      <c r="G1120" s="6"/>
      <c r="H1120" s="6"/>
      <c r="I1120" s="6"/>
      <c r="J1120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120" s="21"/>
      <c r="L1120" s="7"/>
      <c r="M1120" s="41"/>
      <c r="N1120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120" s="26" t="str">
        <f>IF(
   T_Channel[[#This Row],[ProviderName]]="",
   "",
   COUNTIF($N$12:$N$9982,T_Channel[[#This Row],[ProviderName]])
)</f>
        <v/>
      </c>
      <c r="P1120" s="26" t="str">
        <f>IF(
   T_Channel[[#This Row],[Check]]&lt;&gt;"OK",
   "",
   IF(
      T_Channel[[#This Row],[Query]]="",
      "Empty",
      "Defined"
   )
)</f>
        <v/>
      </c>
      <c r="Q1120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120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120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12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120" s="20" t="str">
        <f>IF(
   T_Channel[[#This Row],[Check]]&lt;&gt;"OK",
   "",
   T_Channel[[#This Row],[ChannelSymbol]] &amp; ".evtx"
)</f>
        <v/>
      </c>
      <c r="V1120" s="20" t="str">
        <f>IF(
   T_Channel[[#This Row],[Check]]&lt;&gt;"OK",
   "",
   T_Channel[[#This Row],[LogFolder]] &amp; "\" &amp; T_Channel[[#This Row],[LogFile]]
)</f>
        <v/>
      </c>
      <c r="W1120" s="20" t="str">
        <f>IF(
   T_Channel[[#This Row],[Safekeeping of logs]]="",
   "",
   VLOOKUP(T_Channel[[#This Row],[Safekeeping of logs]],T_List_LogMode[],2,FALSE)
)</f>
        <v/>
      </c>
      <c r="X1120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121" spans="2:24" x14ac:dyDescent="0.45">
      <c r="B1121" s="7"/>
      <c r="C1121" s="7"/>
      <c r="D1121" s="7"/>
      <c r="E1121" s="7"/>
      <c r="F1121" s="6"/>
      <c r="G1121" s="6"/>
      <c r="H1121" s="6"/>
      <c r="I1121" s="6"/>
      <c r="J1121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121" s="21"/>
      <c r="L1121" s="7"/>
      <c r="M1121" s="41"/>
      <c r="N1121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121" s="26" t="str">
        <f>IF(
   T_Channel[[#This Row],[ProviderName]]="",
   "",
   COUNTIF($N$12:$N$9982,T_Channel[[#This Row],[ProviderName]])
)</f>
        <v/>
      </c>
      <c r="P1121" s="26" t="str">
        <f>IF(
   T_Channel[[#This Row],[Check]]&lt;&gt;"OK",
   "",
   IF(
      T_Channel[[#This Row],[Query]]="",
      "Empty",
      "Defined"
   )
)</f>
        <v/>
      </c>
      <c r="Q1121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121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121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12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121" s="20" t="str">
        <f>IF(
   T_Channel[[#This Row],[Check]]&lt;&gt;"OK",
   "",
   T_Channel[[#This Row],[ChannelSymbol]] &amp; ".evtx"
)</f>
        <v/>
      </c>
      <c r="V1121" s="20" t="str">
        <f>IF(
   T_Channel[[#This Row],[Check]]&lt;&gt;"OK",
   "",
   T_Channel[[#This Row],[LogFolder]] &amp; "\" &amp; T_Channel[[#This Row],[LogFile]]
)</f>
        <v/>
      </c>
      <c r="W1121" s="20" t="str">
        <f>IF(
   T_Channel[[#This Row],[Safekeeping of logs]]="",
   "",
   VLOOKUP(T_Channel[[#This Row],[Safekeeping of logs]],T_List_LogMode[],2,FALSE)
)</f>
        <v/>
      </c>
      <c r="X1121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122" spans="2:24" x14ac:dyDescent="0.45">
      <c r="B1122" s="7"/>
      <c r="C1122" s="7"/>
      <c r="D1122" s="7"/>
      <c r="E1122" s="7"/>
      <c r="F1122" s="6"/>
      <c r="G1122" s="6"/>
      <c r="H1122" s="6"/>
      <c r="I1122" s="6"/>
      <c r="J1122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122" s="21"/>
      <c r="L1122" s="7"/>
      <c r="M1122" s="41"/>
      <c r="N1122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122" s="26" t="str">
        <f>IF(
   T_Channel[[#This Row],[ProviderName]]="",
   "",
   COUNTIF($N$12:$N$9982,T_Channel[[#This Row],[ProviderName]])
)</f>
        <v/>
      </c>
      <c r="P1122" s="26" t="str">
        <f>IF(
   T_Channel[[#This Row],[Check]]&lt;&gt;"OK",
   "",
   IF(
      T_Channel[[#This Row],[Query]]="",
      "Empty",
      "Defined"
   )
)</f>
        <v/>
      </c>
      <c r="Q1122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122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122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12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122" s="20" t="str">
        <f>IF(
   T_Channel[[#This Row],[Check]]&lt;&gt;"OK",
   "",
   T_Channel[[#This Row],[ChannelSymbol]] &amp; ".evtx"
)</f>
        <v/>
      </c>
      <c r="V1122" s="20" t="str">
        <f>IF(
   T_Channel[[#This Row],[Check]]&lt;&gt;"OK",
   "",
   T_Channel[[#This Row],[LogFolder]] &amp; "\" &amp; T_Channel[[#This Row],[LogFile]]
)</f>
        <v/>
      </c>
      <c r="W1122" s="20" t="str">
        <f>IF(
   T_Channel[[#This Row],[Safekeeping of logs]]="",
   "",
   VLOOKUP(T_Channel[[#This Row],[Safekeeping of logs]],T_List_LogMode[],2,FALSE)
)</f>
        <v/>
      </c>
      <c r="X1122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123" spans="2:24" x14ac:dyDescent="0.45">
      <c r="B1123" s="7"/>
      <c r="C1123" s="7"/>
      <c r="D1123" s="7"/>
      <c r="E1123" s="7"/>
      <c r="F1123" s="6"/>
      <c r="G1123" s="6"/>
      <c r="H1123" s="6"/>
      <c r="I1123" s="6"/>
      <c r="J1123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123" s="21"/>
      <c r="L1123" s="7"/>
      <c r="M1123" s="41"/>
      <c r="N1123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123" s="26" t="str">
        <f>IF(
   T_Channel[[#This Row],[ProviderName]]="",
   "",
   COUNTIF($N$12:$N$9982,T_Channel[[#This Row],[ProviderName]])
)</f>
        <v/>
      </c>
      <c r="P1123" s="26" t="str">
        <f>IF(
   T_Channel[[#This Row],[Check]]&lt;&gt;"OK",
   "",
   IF(
      T_Channel[[#This Row],[Query]]="",
      "Empty",
      "Defined"
   )
)</f>
        <v/>
      </c>
      <c r="Q1123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123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123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12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123" s="20" t="str">
        <f>IF(
   T_Channel[[#This Row],[Check]]&lt;&gt;"OK",
   "",
   T_Channel[[#This Row],[ChannelSymbol]] &amp; ".evtx"
)</f>
        <v/>
      </c>
      <c r="V1123" s="20" t="str">
        <f>IF(
   T_Channel[[#This Row],[Check]]&lt;&gt;"OK",
   "",
   T_Channel[[#This Row],[LogFolder]] &amp; "\" &amp; T_Channel[[#This Row],[LogFile]]
)</f>
        <v/>
      </c>
      <c r="W1123" s="20" t="str">
        <f>IF(
   T_Channel[[#This Row],[Safekeeping of logs]]="",
   "",
   VLOOKUP(T_Channel[[#This Row],[Safekeeping of logs]],T_List_LogMode[],2,FALSE)
)</f>
        <v/>
      </c>
      <c r="X1123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124" spans="2:24" x14ac:dyDescent="0.45">
      <c r="B1124" s="7"/>
      <c r="C1124" s="7"/>
      <c r="D1124" s="7"/>
      <c r="E1124" s="7"/>
      <c r="F1124" s="6"/>
      <c r="G1124" s="6"/>
      <c r="H1124" s="6"/>
      <c r="I1124" s="6"/>
      <c r="J1124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124" s="21"/>
      <c r="L1124" s="7"/>
      <c r="M1124" s="41"/>
      <c r="N1124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124" s="26" t="str">
        <f>IF(
   T_Channel[[#This Row],[ProviderName]]="",
   "",
   COUNTIF($N$12:$N$9982,T_Channel[[#This Row],[ProviderName]])
)</f>
        <v/>
      </c>
      <c r="P1124" s="26" t="str">
        <f>IF(
   T_Channel[[#This Row],[Check]]&lt;&gt;"OK",
   "",
   IF(
      T_Channel[[#This Row],[Query]]="",
      "Empty",
      "Defined"
   )
)</f>
        <v/>
      </c>
      <c r="Q1124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124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124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12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124" s="20" t="str">
        <f>IF(
   T_Channel[[#This Row],[Check]]&lt;&gt;"OK",
   "",
   T_Channel[[#This Row],[ChannelSymbol]] &amp; ".evtx"
)</f>
        <v/>
      </c>
      <c r="V1124" s="20" t="str">
        <f>IF(
   T_Channel[[#This Row],[Check]]&lt;&gt;"OK",
   "",
   T_Channel[[#This Row],[LogFolder]] &amp; "\" &amp; T_Channel[[#This Row],[LogFile]]
)</f>
        <v/>
      </c>
      <c r="W1124" s="20" t="str">
        <f>IF(
   T_Channel[[#This Row],[Safekeeping of logs]]="",
   "",
   VLOOKUP(T_Channel[[#This Row],[Safekeeping of logs]],T_List_LogMode[],2,FALSE)
)</f>
        <v/>
      </c>
      <c r="X1124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125" spans="2:24" x14ac:dyDescent="0.45">
      <c r="B1125" s="7"/>
      <c r="C1125" s="7"/>
      <c r="D1125" s="7"/>
      <c r="E1125" s="7"/>
      <c r="F1125" s="6"/>
      <c r="G1125" s="6"/>
      <c r="H1125" s="6"/>
      <c r="I1125" s="6"/>
      <c r="J1125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125" s="21"/>
      <c r="L1125" s="7"/>
      <c r="M1125" s="41"/>
      <c r="N1125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125" s="26" t="str">
        <f>IF(
   T_Channel[[#This Row],[ProviderName]]="",
   "",
   COUNTIF($N$12:$N$9982,T_Channel[[#This Row],[ProviderName]])
)</f>
        <v/>
      </c>
      <c r="P1125" s="26" t="str">
        <f>IF(
   T_Channel[[#This Row],[Check]]&lt;&gt;"OK",
   "",
   IF(
      T_Channel[[#This Row],[Query]]="",
      "Empty",
      "Defined"
   )
)</f>
        <v/>
      </c>
      <c r="Q1125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125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125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12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125" s="20" t="str">
        <f>IF(
   T_Channel[[#This Row],[Check]]&lt;&gt;"OK",
   "",
   T_Channel[[#This Row],[ChannelSymbol]] &amp; ".evtx"
)</f>
        <v/>
      </c>
      <c r="V1125" s="20" t="str">
        <f>IF(
   T_Channel[[#This Row],[Check]]&lt;&gt;"OK",
   "",
   T_Channel[[#This Row],[LogFolder]] &amp; "\" &amp; T_Channel[[#This Row],[LogFile]]
)</f>
        <v/>
      </c>
      <c r="W1125" s="20" t="str">
        <f>IF(
   T_Channel[[#This Row],[Safekeeping of logs]]="",
   "",
   VLOOKUP(T_Channel[[#This Row],[Safekeeping of logs]],T_List_LogMode[],2,FALSE)
)</f>
        <v/>
      </c>
      <c r="X1125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126" spans="2:24" x14ac:dyDescent="0.45">
      <c r="B1126" s="7"/>
      <c r="C1126" s="7"/>
      <c r="D1126" s="7"/>
      <c r="E1126" s="7"/>
      <c r="F1126" s="6"/>
      <c r="G1126" s="6"/>
      <c r="H1126" s="6"/>
      <c r="I1126" s="6"/>
      <c r="J1126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126" s="21"/>
      <c r="L1126" s="7"/>
      <c r="M1126" s="41"/>
      <c r="N1126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126" s="26" t="str">
        <f>IF(
   T_Channel[[#This Row],[ProviderName]]="",
   "",
   COUNTIF($N$12:$N$9982,T_Channel[[#This Row],[ProviderName]])
)</f>
        <v/>
      </c>
      <c r="P1126" s="26" t="str">
        <f>IF(
   T_Channel[[#This Row],[Check]]&lt;&gt;"OK",
   "",
   IF(
      T_Channel[[#This Row],[Query]]="",
      "Empty",
      "Defined"
   )
)</f>
        <v/>
      </c>
      <c r="Q1126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126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126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12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126" s="20" t="str">
        <f>IF(
   T_Channel[[#This Row],[Check]]&lt;&gt;"OK",
   "",
   T_Channel[[#This Row],[ChannelSymbol]] &amp; ".evtx"
)</f>
        <v/>
      </c>
      <c r="V1126" s="20" t="str">
        <f>IF(
   T_Channel[[#This Row],[Check]]&lt;&gt;"OK",
   "",
   T_Channel[[#This Row],[LogFolder]] &amp; "\" &amp; T_Channel[[#This Row],[LogFile]]
)</f>
        <v/>
      </c>
      <c r="W1126" s="20" t="str">
        <f>IF(
   T_Channel[[#This Row],[Safekeeping of logs]]="",
   "",
   VLOOKUP(T_Channel[[#This Row],[Safekeeping of logs]],T_List_LogMode[],2,FALSE)
)</f>
        <v/>
      </c>
      <c r="X1126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127" spans="2:24" x14ac:dyDescent="0.45">
      <c r="B1127" s="7"/>
      <c r="C1127" s="7"/>
      <c r="D1127" s="7"/>
      <c r="E1127" s="7"/>
      <c r="F1127" s="6"/>
      <c r="G1127" s="6"/>
      <c r="H1127" s="6"/>
      <c r="I1127" s="6"/>
      <c r="J1127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127" s="21"/>
      <c r="L1127" s="7"/>
      <c r="M1127" s="41"/>
      <c r="N1127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127" s="26" t="str">
        <f>IF(
   T_Channel[[#This Row],[ProviderName]]="",
   "",
   COUNTIF($N$12:$N$9982,T_Channel[[#This Row],[ProviderName]])
)</f>
        <v/>
      </c>
      <c r="P1127" s="26" t="str">
        <f>IF(
   T_Channel[[#This Row],[Check]]&lt;&gt;"OK",
   "",
   IF(
      T_Channel[[#This Row],[Query]]="",
      "Empty",
      "Defined"
   )
)</f>
        <v/>
      </c>
      <c r="Q1127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127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127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12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127" s="20" t="str">
        <f>IF(
   T_Channel[[#This Row],[Check]]&lt;&gt;"OK",
   "",
   T_Channel[[#This Row],[ChannelSymbol]] &amp; ".evtx"
)</f>
        <v/>
      </c>
      <c r="V1127" s="20" t="str">
        <f>IF(
   T_Channel[[#This Row],[Check]]&lt;&gt;"OK",
   "",
   T_Channel[[#This Row],[LogFolder]] &amp; "\" &amp; T_Channel[[#This Row],[LogFile]]
)</f>
        <v/>
      </c>
      <c r="W1127" s="20" t="str">
        <f>IF(
   T_Channel[[#This Row],[Safekeeping of logs]]="",
   "",
   VLOOKUP(T_Channel[[#This Row],[Safekeeping of logs]],T_List_LogMode[],2,FALSE)
)</f>
        <v/>
      </c>
      <c r="X1127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128" spans="2:24" x14ac:dyDescent="0.45">
      <c r="B1128" s="7"/>
      <c r="C1128" s="7"/>
      <c r="D1128" s="7"/>
      <c r="E1128" s="7"/>
      <c r="F1128" s="6"/>
      <c r="G1128" s="6"/>
      <c r="H1128" s="6"/>
      <c r="I1128" s="6"/>
      <c r="J1128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128" s="21"/>
      <c r="L1128" s="7"/>
      <c r="M1128" s="41"/>
      <c r="N1128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128" s="26" t="str">
        <f>IF(
   T_Channel[[#This Row],[ProviderName]]="",
   "",
   COUNTIF($N$12:$N$9982,T_Channel[[#This Row],[ProviderName]])
)</f>
        <v/>
      </c>
      <c r="P1128" s="26" t="str">
        <f>IF(
   T_Channel[[#This Row],[Check]]&lt;&gt;"OK",
   "",
   IF(
      T_Channel[[#This Row],[Query]]="",
      "Empty",
      "Defined"
   )
)</f>
        <v/>
      </c>
      <c r="Q1128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128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128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12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128" s="20" t="str">
        <f>IF(
   T_Channel[[#This Row],[Check]]&lt;&gt;"OK",
   "",
   T_Channel[[#This Row],[ChannelSymbol]] &amp; ".evtx"
)</f>
        <v/>
      </c>
      <c r="V1128" s="20" t="str">
        <f>IF(
   T_Channel[[#This Row],[Check]]&lt;&gt;"OK",
   "",
   T_Channel[[#This Row],[LogFolder]] &amp; "\" &amp; T_Channel[[#This Row],[LogFile]]
)</f>
        <v/>
      </c>
      <c r="W1128" s="20" t="str">
        <f>IF(
   T_Channel[[#This Row],[Safekeeping of logs]]="",
   "",
   VLOOKUP(T_Channel[[#This Row],[Safekeeping of logs]],T_List_LogMode[],2,FALSE)
)</f>
        <v/>
      </c>
      <c r="X1128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129" spans="2:24" x14ac:dyDescent="0.45">
      <c r="B1129" s="7"/>
      <c r="C1129" s="7"/>
      <c r="D1129" s="7"/>
      <c r="E1129" s="7"/>
      <c r="F1129" s="6"/>
      <c r="G1129" s="6"/>
      <c r="H1129" s="6"/>
      <c r="I1129" s="6"/>
      <c r="J1129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129" s="21"/>
      <c r="L1129" s="7"/>
      <c r="M1129" s="41"/>
      <c r="N1129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129" s="26" t="str">
        <f>IF(
   T_Channel[[#This Row],[ProviderName]]="",
   "",
   COUNTIF($N$12:$N$9982,T_Channel[[#This Row],[ProviderName]])
)</f>
        <v/>
      </c>
      <c r="P1129" s="26" t="str">
        <f>IF(
   T_Channel[[#This Row],[Check]]&lt;&gt;"OK",
   "",
   IF(
      T_Channel[[#This Row],[Query]]="",
      "Empty",
      "Defined"
   )
)</f>
        <v/>
      </c>
      <c r="Q1129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129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129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12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129" s="20" t="str">
        <f>IF(
   T_Channel[[#This Row],[Check]]&lt;&gt;"OK",
   "",
   T_Channel[[#This Row],[ChannelSymbol]] &amp; ".evtx"
)</f>
        <v/>
      </c>
      <c r="V1129" s="20" t="str">
        <f>IF(
   T_Channel[[#This Row],[Check]]&lt;&gt;"OK",
   "",
   T_Channel[[#This Row],[LogFolder]] &amp; "\" &amp; T_Channel[[#This Row],[LogFile]]
)</f>
        <v/>
      </c>
      <c r="W1129" s="20" t="str">
        <f>IF(
   T_Channel[[#This Row],[Safekeeping of logs]]="",
   "",
   VLOOKUP(T_Channel[[#This Row],[Safekeeping of logs]],T_List_LogMode[],2,FALSE)
)</f>
        <v/>
      </c>
      <c r="X1129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130" spans="2:24" x14ac:dyDescent="0.45">
      <c r="B1130" s="7"/>
      <c r="C1130" s="7"/>
      <c r="D1130" s="7"/>
      <c r="E1130" s="7"/>
      <c r="F1130" s="6"/>
      <c r="G1130" s="6"/>
      <c r="H1130" s="6"/>
      <c r="I1130" s="6"/>
      <c r="J1130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130" s="21"/>
      <c r="L1130" s="7"/>
      <c r="M1130" s="41"/>
      <c r="N1130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130" s="26" t="str">
        <f>IF(
   T_Channel[[#This Row],[ProviderName]]="",
   "",
   COUNTIF($N$12:$N$9982,T_Channel[[#This Row],[ProviderName]])
)</f>
        <v/>
      </c>
      <c r="P1130" s="26" t="str">
        <f>IF(
   T_Channel[[#This Row],[Check]]&lt;&gt;"OK",
   "",
   IF(
      T_Channel[[#This Row],[Query]]="",
      "Empty",
      "Defined"
   )
)</f>
        <v/>
      </c>
      <c r="Q1130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130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130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13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130" s="20" t="str">
        <f>IF(
   T_Channel[[#This Row],[Check]]&lt;&gt;"OK",
   "",
   T_Channel[[#This Row],[ChannelSymbol]] &amp; ".evtx"
)</f>
        <v/>
      </c>
      <c r="V1130" s="20" t="str">
        <f>IF(
   T_Channel[[#This Row],[Check]]&lt;&gt;"OK",
   "",
   T_Channel[[#This Row],[LogFolder]] &amp; "\" &amp; T_Channel[[#This Row],[LogFile]]
)</f>
        <v/>
      </c>
      <c r="W1130" s="20" t="str">
        <f>IF(
   T_Channel[[#This Row],[Safekeeping of logs]]="",
   "",
   VLOOKUP(T_Channel[[#This Row],[Safekeeping of logs]],T_List_LogMode[],2,FALSE)
)</f>
        <v/>
      </c>
      <c r="X1130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131" spans="2:24" x14ac:dyDescent="0.45">
      <c r="B1131" s="7"/>
      <c r="C1131" s="7"/>
      <c r="D1131" s="7"/>
      <c r="E1131" s="7"/>
      <c r="F1131" s="6"/>
      <c r="G1131" s="6"/>
      <c r="H1131" s="6"/>
      <c r="I1131" s="6"/>
      <c r="J1131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131" s="21"/>
      <c r="L1131" s="7"/>
      <c r="M1131" s="41"/>
      <c r="N1131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131" s="26" t="str">
        <f>IF(
   T_Channel[[#This Row],[ProviderName]]="",
   "",
   COUNTIF($N$12:$N$9982,T_Channel[[#This Row],[ProviderName]])
)</f>
        <v/>
      </c>
      <c r="P1131" s="26" t="str">
        <f>IF(
   T_Channel[[#This Row],[Check]]&lt;&gt;"OK",
   "",
   IF(
      T_Channel[[#This Row],[Query]]="",
      "Empty",
      "Defined"
   )
)</f>
        <v/>
      </c>
      <c r="Q1131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131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131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13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131" s="20" t="str">
        <f>IF(
   T_Channel[[#This Row],[Check]]&lt;&gt;"OK",
   "",
   T_Channel[[#This Row],[ChannelSymbol]] &amp; ".evtx"
)</f>
        <v/>
      </c>
      <c r="V1131" s="20" t="str">
        <f>IF(
   T_Channel[[#This Row],[Check]]&lt;&gt;"OK",
   "",
   T_Channel[[#This Row],[LogFolder]] &amp; "\" &amp; T_Channel[[#This Row],[LogFile]]
)</f>
        <v/>
      </c>
      <c r="W1131" s="20" t="str">
        <f>IF(
   T_Channel[[#This Row],[Safekeeping of logs]]="",
   "",
   VLOOKUP(T_Channel[[#This Row],[Safekeeping of logs]],T_List_LogMode[],2,FALSE)
)</f>
        <v/>
      </c>
      <c r="X1131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132" spans="2:24" x14ac:dyDescent="0.45">
      <c r="B1132" s="7"/>
      <c r="C1132" s="7"/>
      <c r="D1132" s="7"/>
      <c r="E1132" s="7"/>
      <c r="F1132" s="6"/>
      <c r="G1132" s="6"/>
      <c r="H1132" s="6"/>
      <c r="I1132" s="6"/>
      <c r="J1132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132" s="21"/>
      <c r="L1132" s="7"/>
      <c r="M1132" s="41"/>
      <c r="N1132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132" s="26" t="str">
        <f>IF(
   T_Channel[[#This Row],[ProviderName]]="",
   "",
   COUNTIF($N$12:$N$9982,T_Channel[[#This Row],[ProviderName]])
)</f>
        <v/>
      </c>
      <c r="P1132" s="26" t="str">
        <f>IF(
   T_Channel[[#This Row],[Check]]&lt;&gt;"OK",
   "",
   IF(
      T_Channel[[#This Row],[Query]]="",
      "Empty",
      "Defined"
   )
)</f>
        <v/>
      </c>
      <c r="Q1132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132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132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13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132" s="20" t="str">
        <f>IF(
   T_Channel[[#This Row],[Check]]&lt;&gt;"OK",
   "",
   T_Channel[[#This Row],[ChannelSymbol]] &amp; ".evtx"
)</f>
        <v/>
      </c>
      <c r="V1132" s="20" t="str">
        <f>IF(
   T_Channel[[#This Row],[Check]]&lt;&gt;"OK",
   "",
   T_Channel[[#This Row],[LogFolder]] &amp; "\" &amp; T_Channel[[#This Row],[LogFile]]
)</f>
        <v/>
      </c>
      <c r="W1132" s="20" t="str">
        <f>IF(
   T_Channel[[#This Row],[Safekeeping of logs]]="",
   "",
   VLOOKUP(T_Channel[[#This Row],[Safekeeping of logs]],T_List_LogMode[],2,FALSE)
)</f>
        <v/>
      </c>
      <c r="X1132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133" spans="2:24" x14ac:dyDescent="0.45">
      <c r="B1133" s="7"/>
      <c r="C1133" s="7"/>
      <c r="D1133" s="7"/>
      <c r="E1133" s="7"/>
      <c r="F1133" s="6"/>
      <c r="G1133" s="6"/>
      <c r="H1133" s="6"/>
      <c r="I1133" s="6"/>
      <c r="J1133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133" s="21"/>
      <c r="L1133" s="7"/>
      <c r="M1133" s="41"/>
      <c r="N1133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133" s="26" t="str">
        <f>IF(
   T_Channel[[#This Row],[ProviderName]]="",
   "",
   COUNTIF($N$12:$N$9982,T_Channel[[#This Row],[ProviderName]])
)</f>
        <v/>
      </c>
      <c r="P1133" s="26" t="str">
        <f>IF(
   T_Channel[[#This Row],[Check]]&lt;&gt;"OK",
   "",
   IF(
      T_Channel[[#This Row],[Query]]="",
      "Empty",
      "Defined"
   )
)</f>
        <v/>
      </c>
      <c r="Q1133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133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133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13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133" s="20" t="str">
        <f>IF(
   T_Channel[[#This Row],[Check]]&lt;&gt;"OK",
   "",
   T_Channel[[#This Row],[ChannelSymbol]] &amp; ".evtx"
)</f>
        <v/>
      </c>
      <c r="V1133" s="20" t="str">
        <f>IF(
   T_Channel[[#This Row],[Check]]&lt;&gt;"OK",
   "",
   T_Channel[[#This Row],[LogFolder]] &amp; "\" &amp; T_Channel[[#This Row],[LogFile]]
)</f>
        <v/>
      </c>
      <c r="W1133" s="20" t="str">
        <f>IF(
   T_Channel[[#This Row],[Safekeeping of logs]]="",
   "",
   VLOOKUP(T_Channel[[#This Row],[Safekeeping of logs]],T_List_LogMode[],2,FALSE)
)</f>
        <v/>
      </c>
      <c r="X1133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134" spans="2:24" x14ac:dyDescent="0.45">
      <c r="B1134" s="7"/>
      <c r="C1134" s="7"/>
      <c r="D1134" s="7"/>
      <c r="E1134" s="7"/>
      <c r="F1134" s="6"/>
      <c r="G1134" s="6"/>
      <c r="H1134" s="6"/>
      <c r="I1134" s="6"/>
      <c r="J1134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134" s="21"/>
      <c r="L1134" s="7"/>
      <c r="M1134" s="41"/>
      <c r="N1134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134" s="26" t="str">
        <f>IF(
   T_Channel[[#This Row],[ProviderName]]="",
   "",
   COUNTIF($N$12:$N$9982,T_Channel[[#This Row],[ProviderName]])
)</f>
        <v/>
      </c>
      <c r="P1134" s="26" t="str">
        <f>IF(
   T_Channel[[#This Row],[Check]]&lt;&gt;"OK",
   "",
   IF(
      T_Channel[[#This Row],[Query]]="",
      "Empty",
      "Defined"
   )
)</f>
        <v/>
      </c>
      <c r="Q1134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134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134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13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134" s="20" t="str">
        <f>IF(
   T_Channel[[#This Row],[Check]]&lt;&gt;"OK",
   "",
   T_Channel[[#This Row],[ChannelSymbol]] &amp; ".evtx"
)</f>
        <v/>
      </c>
      <c r="V1134" s="20" t="str">
        <f>IF(
   T_Channel[[#This Row],[Check]]&lt;&gt;"OK",
   "",
   T_Channel[[#This Row],[LogFolder]] &amp; "\" &amp; T_Channel[[#This Row],[LogFile]]
)</f>
        <v/>
      </c>
      <c r="W1134" s="20" t="str">
        <f>IF(
   T_Channel[[#This Row],[Safekeeping of logs]]="",
   "",
   VLOOKUP(T_Channel[[#This Row],[Safekeeping of logs]],T_List_LogMode[],2,FALSE)
)</f>
        <v/>
      </c>
      <c r="X1134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135" spans="2:24" x14ac:dyDescent="0.45">
      <c r="B1135" s="7"/>
      <c r="C1135" s="7"/>
      <c r="D1135" s="7"/>
      <c r="E1135" s="7"/>
      <c r="F1135" s="6"/>
      <c r="G1135" s="6"/>
      <c r="H1135" s="6"/>
      <c r="I1135" s="6"/>
      <c r="J1135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135" s="21"/>
      <c r="L1135" s="7"/>
      <c r="M1135" s="41"/>
      <c r="N1135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135" s="26" t="str">
        <f>IF(
   T_Channel[[#This Row],[ProviderName]]="",
   "",
   COUNTIF($N$12:$N$9982,T_Channel[[#This Row],[ProviderName]])
)</f>
        <v/>
      </c>
      <c r="P1135" s="26" t="str">
        <f>IF(
   T_Channel[[#This Row],[Check]]&lt;&gt;"OK",
   "",
   IF(
      T_Channel[[#This Row],[Query]]="",
      "Empty",
      "Defined"
   )
)</f>
        <v/>
      </c>
      <c r="Q1135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135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135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13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135" s="20" t="str">
        <f>IF(
   T_Channel[[#This Row],[Check]]&lt;&gt;"OK",
   "",
   T_Channel[[#This Row],[ChannelSymbol]] &amp; ".evtx"
)</f>
        <v/>
      </c>
      <c r="V1135" s="20" t="str">
        <f>IF(
   T_Channel[[#This Row],[Check]]&lt;&gt;"OK",
   "",
   T_Channel[[#This Row],[LogFolder]] &amp; "\" &amp; T_Channel[[#This Row],[LogFile]]
)</f>
        <v/>
      </c>
      <c r="W1135" s="20" t="str">
        <f>IF(
   T_Channel[[#This Row],[Safekeeping of logs]]="",
   "",
   VLOOKUP(T_Channel[[#This Row],[Safekeeping of logs]],T_List_LogMode[],2,FALSE)
)</f>
        <v/>
      </c>
      <c r="X1135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136" spans="2:24" x14ac:dyDescent="0.45">
      <c r="B1136" s="7"/>
      <c r="C1136" s="7"/>
      <c r="D1136" s="7"/>
      <c r="E1136" s="7"/>
      <c r="F1136" s="6"/>
      <c r="G1136" s="6"/>
      <c r="H1136" s="6"/>
      <c r="I1136" s="6"/>
      <c r="J1136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136" s="21"/>
      <c r="L1136" s="7"/>
      <c r="M1136" s="41"/>
      <c r="N1136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136" s="26" t="str">
        <f>IF(
   T_Channel[[#This Row],[ProviderName]]="",
   "",
   COUNTIF($N$12:$N$9982,T_Channel[[#This Row],[ProviderName]])
)</f>
        <v/>
      </c>
      <c r="P1136" s="26" t="str">
        <f>IF(
   T_Channel[[#This Row],[Check]]&lt;&gt;"OK",
   "",
   IF(
      T_Channel[[#This Row],[Query]]="",
      "Empty",
      "Defined"
   )
)</f>
        <v/>
      </c>
      <c r="Q1136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136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136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13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136" s="20" t="str">
        <f>IF(
   T_Channel[[#This Row],[Check]]&lt;&gt;"OK",
   "",
   T_Channel[[#This Row],[ChannelSymbol]] &amp; ".evtx"
)</f>
        <v/>
      </c>
      <c r="V1136" s="20" t="str">
        <f>IF(
   T_Channel[[#This Row],[Check]]&lt;&gt;"OK",
   "",
   T_Channel[[#This Row],[LogFolder]] &amp; "\" &amp; T_Channel[[#This Row],[LogFile]]
)</f>
        <v/>
      </c>
      <c r="W1136" s="20" t="str">
        <f>IF(
   T_Channel[[#This Row],[Safekeeping of logs]]="",
   "",
   VLOOKUP(T_Channel[[#This Row],[Safekeeping of logs]],T_List_LogMode[],2,FALSE)
)</f>
        <v/>
      </c>
      <c r="X1136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137" spans="2:24" x14ac:dyDescent="0.45">
      <c r="B1137" s="7"/>
      <c r="C1137" s="7"/>
      <c r="D1137" s="7"/>
      <c r="E1137" s="7"/>
      <c r="F1137" s="6"/>
      <c r="G1137" s="6"/>
      <c r="H1137" s="6"/>
      <c r="I1137" s="6"/>
      <c r="J1137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137" s="21"/>
      <c r="L1137" s="7"/>
      <c r="M1137" s="41"/>
      <c r="N1137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137" s="26" t="str">
        <f>IF(
   T_Channel[[#This Row],[ProviderName]]="",
   "",
   COUNTIF($N$12:$N$9982,T_Channel[[#This Row],[ProviderName]])
)</f>
        <v/>
      </c>
      <c r="P1137" s="26" t="str">
        <f>IF(
   T_Channel[[#This Row],[Check]]&lt;&gt;"OK",
   "",
   IF(
      T_Channel[[#This Row],[Query]]="",
      "Empty",
      "Defined"
   )
)</f>
        <v/>
      </c>
      <c r="Q1137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137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137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13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137" s="20" t="str">
        <f>IF(
   T_Channel[[#This Row],[Check]]&lt;&gt;"OK",
   "",
   T_Channel[[#This Row],[ChannelSymbol]] &amp; ".evtx"
)</f>
        <v/>
      </c>
      <c r="V1137" s="20" t="str">
        <f>IF(
   T_Channel[[#This Row],[Check]]&lt;&gt;"OK",
   "",
   T_Channel[[#This Row],[LogFolder]] &amp; "\" &amp; T_Channel[[#This Row],[LogFile]]
)</f>
        <v/>
      </c>
      <c r="W1137" s="20" t="str">
        <f>IF(
   T_Channel[[#This Row],[Safekeeping of logs]]="",
   "",
   VLOOKUP(T_Channel[[#This Row],[Safekeeping of logs]],T_List_LogMode[],2,FALSE)
)</f>
        <v/>
      </c>
      <c r="X1137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138" spans="2:24" x14ac:dyDescent="0.45">
      <c r="B1138" s="7"/>
      <c r="C1138" s="7"/>
      <c r="D1138" s="7"/>
      <c r="E1138" s="7"/>
      <c r="F1138" s="6"/>
      <c r="G1138" s="6"/>
      <c r="H1138" s="6"/>
      <c r="I1138" s="6"/>
      <c r="J1138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138" s="21"/>
      <c r="L1138" s="7"/>
      <c r="M1138" s="41"/>
      <c r="N1138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138" s="26" t="str">
        <f>IF(
   T_Channel[[#This Row],[ProviderName]]="",
   "",
   COUNTIF($N$12:$N$9982,T_Channel[[#This Row],[ProviderName]])
)</f>
        <v/>
      </c>
      <c r="P1138" s="26" t="str">
        <f>IF(
   T_Channel[[#This Row],[Check]]&lt;&gt;"OK",
   "",
   IF(
      T_Channel[[#This Row],[Query]]="",
      "Empty",
      "Defined"
   )
)</f>
        <v/>
      </c>
      <c r="Q1138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138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138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13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138" s="20" t="str">
        <f>IF(
   T_Channel[[#This Row],[Check]]&lt;&gt;"OK",
   "",
   T_Channel[[#This Row],[ChannelSymbol]] &amp; ".evtx"
)</f>
        <v/>
      </c>
      <c r="V1138" s="20" t="str">
        <f>IF(
   T_Channel[[#This Row],[Check]]&lt;&gt;"OK",
   "",
   T_Channel[[#This Row],[LogFolder]] &amp; "\" &amp; T_Channel[[#This Row],[LogFile]]
)</f>
        <v/>
      </c>
      <c r="W1138" s="20" t="str">
        <f>IF(
   T_Channel[[#This Row],[Safekeeping of logs]]="",
   "",
   VLOOKUP(T_Channel[[#This Row],[Safekeeping of logs]],T_List_LogMode[],2,FALSE)
)</f>
        <v/>
      </c>
      <c r="X1138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139" spans="2:24" x14ac:dyDescent="0.45">
      <c r="B1139" s="7"/>
      <c r="C1139" s="7"/>
      <c r="D1139" s="7"/>
      <c r="E1139" s="7"/>
      <c r="F1139" s="6"/>
      <c r="G1139" s="6"/>
      <c r="H1139" s="6"/>
      <c r="I1139" s="6"/>
      <c r="J1139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139" s="21"/>
      <c r="L1139" s="7"/>
      <c r="M1139" s="41"/>
      <c r="N1139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139" s="26" t="str">
        <f>IF(
   T_Channel[[#This Row],[ProviderName]]="",
   "",
   COUNTIF($N$12:$N$9982,T_Channel[[#This Row],[ProviderName]])
)</f>
        <v/>
      </c>
      <c r="P1139" s="26" t="str">
        <f>IF(
   T_Channel[[#This Row],[Check]]&lt;&gt;"OK",
   "",
   IF(
      T_Channel[[#This Row],[Query]]="",
      "Empty",
      "Defined"
   )
)</f>
        <v/>
      </c>
      <c r="Q1139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139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139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13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139" s="20" t="str">
        <f>IF(
   T_Channel[[#This Row],[Check]]&lt;&gt;"OK",
   "",
   T_Channel[[#This Row],[ChannelSymbol]] &amp; ".evtx"
)</f>
        <v/>
      </c>
      <c r="V1139" s="20" t="str">
        <f>IF(
   T_Channel[[#This Row],[Check]]&lt;&gt;"OK",
   "",
   T_Channel[[#This Row],[LogFolder]] &amp; "\" &amp; T_Channel[[#This Row],[LogFile]]
)</f>
        <v/>
      </c>
      <c r="W1139" s="20" t="str">
        <f>IF(
   T_Channel[[#This Row],[Safekeeping of logs]]="",
   "",
   VLOOKUP(T_Channel[[#This Row],[Safekeeping of logs]],T_List_LogMode[],2,FALSE)
)</f>
        <v/>
      </c>
      <c r="X1139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140" spans="2:24" x14ac:dyDescent="0.45">
      <c r="B1140" s="7"/>
      <c r="C1140" s="7"/>
      <c r="D1140" s="7"/>
      <c r="E1140" s="7"/>
      <c r="F1140" s="6"/>
      <c r="G1140" s="6"/>
      <c r="H1140" s="6"/>
      <c r="I1140" s="6"/>
      <c r="J1140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140" s="21"/>
      <c r="L1140" s="7"/>
      <c r="M1140" s="41"/>
      <c r="N1140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140" s="26" t="str">
        <f>IF(
   T_Channel[[#This Row],[ProviderName]]="",
   "",
   COUNTIF($N$12:$N$9982,T_Channel[[#This Row],[ProviderName]])
)</f>
        <v/>
      </c>
      <c r="P1140" s="26" t="str">
        <f>IF(
   T_Channel[[#This Row],[Check]]&lt;&gt;"OK",
   "",
   IF(
      T_Channel[[#This Row],[Query]]="",
      "Empty",
      "Defined"
   )
)</f>
        <v/>
      </c>
      <c r="Q1140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140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140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14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140" s="20" t="str">
        <f>IF(
   T_Channel[[#This Row],[Check]]&lt;&gt;"OK",
   "",
   T_Channel[[#This Row],[ChannelSymbol]] &amp; ".evtx"
)</f>
        <v/>
      </c>
      <c r="V1140" s="20" t="str">
        <f>IF(
   T_Channel[[#This Row],[Check]]&lt;&gt;"OK",
   "",
   T_Channel[[#This Row],[LogFolder]] &amp; "\" &amp; T_Channel[[#This Row],[LogFile]]
)</f>
        <v/>
      </c>
      <c r="W1140" s="20" t="str">
        <f>IF(
   T_Channel[[#This Row],[Safekeeping of logs]]="",
   "",
   VLOOKUP(T_Channel[[#This Row],[Safekeeping of logs]],T_List_LogMode[],2,FALSE)
)</f>
        <v/>
      </c>
      <c r="X1140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141" spans="2:24" x14ac:dyDescent="0.45">
      <c r="B1141" s="7"/>
      <c r="C1141" s="7"/>
      <c r="D1141" s="7"/>
      <c r="E1141" s="7"/>
      <c r="F1141" s="6"/>
      <c r="G1141" s="6"/>
      <c r="H1141" s="6"/>
      <c r="I1141" s="6"/>
      <c r="J1141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141" s="21"/>
      <c r="L1141" s="7"/>
      <c r="M1141" s="41"/>
      <c r="N1141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141" s="26" t="str">
        <f>IF(
   T_Channel[[#This Row],[ProviderName]]="",
   "",
   COUNTIF($N$12:$N$9982,T_Channel[[#This Row],[ProviderName]])
)</f>
        <v/>
      </c>
      <c r="P1141" s="26" t="str">
        <f>IF(
   T_Channel[[#This Row],[Check]]&lt;&gt;"OK",
   "",
   IF(
      T_Channel[[#This Row],[Query]]="",
      "Empty",
      "Defined"
   )
)</f>
        <v/>
      </c>
      <c r="Q1141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141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141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14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141" s="20" t="str">
        <f>IF(
   T_Channel[[#This Row],[Check]]&lt;&gt;"OK",
   "",
   T_Channel[[#This Row],[ChannelSymbol]] &amp; ".evtx"
)</f>
        <v/>
      </c>
      <c r="V1141" s="20" t="str">
        <f>IF(
   T_Channel[[#This Row],[Check]]&lt;&gt;"OK",
   "",
   T_Channel[[#This Row],[LogFolder]] &amp; "\" &amp; T_Channel[[#This Row],[LogFile]]
)</f>
        <v/>
      </c>
      <c r="W1141" s="20" t="str">
        <f>IF(
   T_Channel[[#This Row],[Safekeeping of logs]]="",
   "",
   VLOOKUP(T_Channel[[#This Row],[Safekeeping of logs]],T_List_LogMode[],2,FALSE)
)</f>
        <v/>
      </c>
      <c r="X1141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142" spans="2:24" x14ac:dyDescent="0.45">
      <c r="B1142" s="7"/>
      <c r="C1142" s="7"/>
      <c r="D1142" s="7"/>
      <c r="E1142" s="7"/>
      <c r="F1142" s="6"/>
      <c r="G1142" s="6"/>
      <c r="H1142" s="6"/>
      <c r="I1142" s="6"/>
      <c r="J1142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142" s="21"/>
      <c r="L1142" s="7"/>
      <c r="M1142" s="41"/>
      <c r="N1142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142" s="26" t="str">
        <f>IF(
   T_Channel[[#This Row],[ProviderName]]="",
   "",
   COUNTIF($N$12:$N$9982,T_Channel[[#This Row],[ProviderName]])
)</f>
        <v/>
      </c>
      <c r="P1142" s="26" t="str">
        <f>IF(
   T_Channel[[#This Row],[Check]]&lt;&gt;"OK",
   "",
   IF(
      T_Channel[[#This Row],[Query]]="",
      "Empty",
      "Defined"
   )
)</f>
        <v/>
      </c>
      <c r="Q1142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142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142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142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142" s="20" t="str">
        <f>IF(
   T_Channel[[#This Row],[Check]]&lt;&gt;"OK",
   "",
   T_Channel[[#This Row],[ChannelSymbol]] &amp; ".evtx"
)</f>
        <v/>
      </c>
      <c r="V1142" s="20" t="str">
        <f>IF(
   T_Channel[[#This Row],[Check]]&lt;&gt;"OK",
   "",
   T_Channel[[#This Row],[LogFolder]] &amp; "\" &amp; T_Channel[[#This Row],[LogFile]]
)</f>
        <v/>
      </c>
      <c r="W1142" s="20" t="str">
        <f>IF(
   T_Channel[[#This Row],[Safekeeping of logs]]="",
   "",
   VLOOKUP(T_Channel[[#This Row],[Safekeeping of logs]],T_List_LogMode[],2,FALSE)
)</f>
        <v/>
      </c>
      <c r="X1142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143" spans="2:24" x14ac:dyDescent="0.45">
      <c r="B1143" s="7"/>
      <c r="C1143" s="7"/>
      <c r="D1143" s="7"/>
      <c r="E1143" s="7"/>
      <c r="F1143" s="6"/>
      <c r="G1143" s="6"/>
      <c r="H1143" s="6"/>
      <c r="I1143" s="6"/>
      <c r="J1143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143" s="21"/>
      <c r="L1143" s="7"/>
      <c r="M1143" s="41"/>
      <c r="N1143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143" s="26" t="str">
        <f>IF(
   T_Channel[[#This Row],[ProviderName]]="",
   "",
   COUNTIF($N$12:$N$9982,T_Channel[[#This Row],[ProviderName]])
)</f>
        <v/>
      </c>
      <c r="P1143" s="26" t="str">
        <f>IF(
   T_Channel[[#This Row],[Check]]&lt;&gt;"OK",
   "",
   IF(
      T_Channel[[#This Row],[Query]]="",
      "Empty",
      "Defined"
   )
)</f>
        <v/>
      </c>
      <c r="Q1143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143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143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143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143" s="20" t="str">
        <f>IF(
   T_Channel[[#This Row],[Check]]&lt;&gt;"OK",
   "",
   T_Channel[[#This Row],[ChannelSymbol]] &amp; ".evtx"
)</f>
        <v/>
      </c>
      <c r="V1143" s="20" t="str">
        <f>IF(
   T_Channel[[#This Row],[Check]]&lt;&gt;"OK",
   "",
   T_Channel[[#This Row],[LogFolder]] &amp; "\" &amp; T_Channel[[#This Row],[LogFile]]
)</f>
        <v/>
      </c>
      <c r="W1143" s="20" t="str">
        <f>IF(
   T_Channel[[#This Row],[Safekeeping of logs]]="",
   "",
   VLOOKUP(T_Channel[[#This Row],[Safekeeping of logs]],T_List_LogMode[],2,FALSE)
)</f>
        <v/>
      </c>
      <c r="X1143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144" spans="2:24" x14ac:dyDescent="0.45">
      <c r="B1144" s="7"/>
      <c r="C1144" s="7"/>
      <c r="D1144" s="7"/>
      <c r="E1144" s="7"/>
      <c r="F1144" s="6"/>
      <c r="G1144" s="6"/>
      <c r="H1144" s="6"/>
      <c r="I1144" s="6"/>
      <c r="J1144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144" s="21"/>
      <c r="L1144" s="7"/>
      <c r="M1144" s="41"/>
      <c r="N1144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144" s="26" t="str">
        <f>IF(
   T_Channel[[#This Row],[ProviderName]]="",
   "",
   COUNTIF($N$12:$N$9982,T_Channel[[#This Row],[ProviderName]])
)</f>
        <v/>
      </c>
      <c r="P1144" s="26" t="str">
        <f>IF(
   T_Channel[[#This Row],[Check]]&lt;&gt;"OK",
   "",
   IF(
      T_Channel[[#This Row],[Query]]="",
      "Empty",
      "Defined"
   )
)</f>
        <v/>
      </c>
      <c r="Q1144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144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144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144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144" s="20" t="str">
        <f>IF(
   T_Channel[[#This Row],[Check]]&lt;&gt;"OK",
   "",
   T_Channel[[#This Row],[ChannelSymbol]] &amp; ".evtx"
)</f>
        <v/>
      </c>
      <c r="V1144" s="20" t="str">
        <f>IF(
   T_Channel[[#This Row],[Check]]&lt;&gt;"OK",
   "",
   T_Channel[[#This Row],[LogFolder]] &amp; "\" &amp; T_Channel[[#This Row],[LogFile]]
)</f>
        <v/>
      </c>
      <c r="W1144" s="20" t="str">
        <f>IF(
   T_Channel[[#This Row],[Safekeeping of logs]]="",
   "",
   VLOOKUP(T_Channel[[#This Row],[Safekeeping of logs]],T_List_LogMode[],2,FALSE)
)</f>
        <v/>
      </c>
      <c r="X1144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145" spans="2:24" x14ac:dyDescent="0.45">
      <c r="B1145" s="7"/>
      <c r="C1145" s="7"/>
      <c r="D1145" s="7"/>
      <c r="E1145" s="7"/>
      <c r="F1145" s="6"/>
      <c r="G1145" s="6"/>
      <c r="H1145" s="6"/>
      <c r="I1145" s="6"/>
      <c r="J1145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145" s="21"/>
      <c r="L1145" s="7"/>
      <c r="M1145" s="41"/>
      <c r="N1145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145" s="26" t="str">
        <f>IF(
   T_Channel[[#This Row],[ProviderName]]="",
   "",
   COUNTIF($N$12:$N$9982,T_Channel[[#This Row],[ProviderName]])
)</f>
        <v/>
      </c>
      <c r="P1145" s="26" t="str">
        <f>IF(
   T_Channel[[#This Row],[Check]]&lt;&gt;"OK",
   "",
   IF(
      T_Channel[[#This Row],[Query]]="",
      "Empty",
      "Defined"
   )
)</f>
        <v/>
      </c>
      <c r="Q1145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145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145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145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145" s="20" t="str">
        <f>IF(
   T_Channel[[#This Row],[Check]]&lt;&gt;"OK",
   "",
   T_Channel[[#This Row],[ChannelSymbol]] &amp; ".evtx"
)</f>
        <v/>
      </c>
      <c r="V1145" s="20" t="str">
        <f>IF(
   T_Channel[[#This Row],[Check]]&lt;&gt;"OK",
   "",
   T_Channel[[#This Row],[LogFolder]] &amp; "\" &amp; T_Channel[[#This Row],[LogFile]]
)</f>
        <v/>
      </c>
      <c r="W1145" s="20" t="str">
        <f>IF(
   T_Channel[[#This Row],[Safekeeping of logs]]="",
   "",
   VLOOKUP(T_Channel[[#This Row],[Safekeeping of logs]],T_List_LogMode[],2,FALSE)
)</f>
        <v/>
      </c>
      <c r="X1145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146" spans="2:24" x14ac:dyDescent="0.45">
      <c r="B1146" s="7"/>
      <c r="C1146" s="7"/>
      <c r="D1146" s="7"/>
      <c r="E1146" s="7"/>
      <c r="F1146" s="6"/>
      <c r="G1146" s="6"/>
      <c r="H1146" s="6"/>
      <c r="I1146" s="6"/>
      <c r="J1146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146" s="21"/>
      <c r="L1146" s="7"/>
      <c r="M1146" s="41"/>
      <c r="N1146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146" s="26" t="str">
        <f>IF(
   T_Channel[[#This Row],[ProviderName]]="",
   "",
   COUNTIF($N$12:$N$9982,T_Channel[[#This Row],[ProviderName]])
)</f>
        <v/>
      </c>
      <c r="P1146" s="26" t="str">
        <f>IF(
   T_Channel[[#This Row],[Check]]&lt;&gt;"OK",
   "",
   IF(
      T_Channel[[#This Row],[Query]]="",
      "Empty",
      "Defined"
   )
)</f>
        <v/>
      </c>
      <c r="Q1146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146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146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146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146" s="20" t="str">
        <f>IF(
   T_Channel[[#This Row],[Check]]&lt;&gt;"OK",
   "",
   T_Channel[[#This Row],[ChannelSymbol]] &amp; ".evtx"
)</f>
        <v/>
      </c>
      <c r="V1146" s="20" t="str">
        <f>IF(
   T_Channel[[#This Row],[Check]]&lt;&gt;"OK",
   "",
   T_Channel[[#This Row],[LogFolder]] &amp; "\" &amp; T_Channel[[#This Row],[LogFile]]
)</f>
        <v/>
      </c>
      <c r="W1146" s="20" t="str">
        <f>IF(
   T_Channel[[#This Row],[Safekeeping of logs]]="",
   "",
   VLOOKUP(T_Channel[[#This Row],[Safekeeping of logs]],T_List_LogMode[],2,FALSE)
)</f>
        <v/>
      </c>
      <c r="X1146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147" spans="2:24" x14ac:dyDescent="0.45">
      <c r="B1147" s="7"/>
      <c r="C1147" s="7"/>
      <c r="D1147" s="7"/>
      <c r="E1147" s="7"/>
      <c r="F1147" s="6"/>
      <c r="G1147" s="6"/>
      <c r="H1147" s="6"/>
      <c r="I1147" s="6"/>
      <c r="J1147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147" s="21"/>
      <c r="L1147" s="7"/>
      <c r="M1147" s="41"/>
      <c r="N1147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147" s="26" t="str">
        <f>IF(
   T_Channel[[#This Row],[ProviderName]]="",
   "",
   COUNTIF($N$12:$N$9982,T_Channel[[#This Row],[ProviderName]])
)</f>
        <v/>
      </c>
      <c r="P1147" s="26" t="str">
        <f>IF(
   T_Channel[[#This Row],[Check]]&lt;&gt;"OK",
   "",
   IF(
      T_Channel[[#This Row],[Query]]="",
      "Empty",
      "Defined"
   )
)</f>
        <v/>
      </c>
      <c r="Q1147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147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147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147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147" s="20" t="str">
        <f>IF(
   T_Channel[[#This Row],[Check]]&lt;&gt;"OK",
   "",
   T_Channel[[#This Row],[ChannelSymbol]] &amp; ".evtx"
)</f>
        <v/>
      </c>
      <c r="V1147" s="20" t="str">
        <f>IF(
   T_Channel[[#This Row],[Check]]&lt;&gt;"OK",
   "",
   T_Channel[[#This Row],[LogFolder]] &amp; "\" &amp; T_Channel[[#This Row],[LogFile]]
)</f>
        <v/>
      </c>
      <c r="W1147" s="20" t="str">
        <f>IF(
   T_Channel[[#This Row],[Safekeeping of logs]]="",
   "",
   VLOOKUP(T_Channel[[#This Row],[Safekeeping of logs]],T_List_LogMode[],2,FALSE)
)</f>
        <v/>
      </c>
      <c r="X1147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148" spans="2:24" x14ac:dyDescent="0.45">
      <c r="B1148" s="7"/>
      <c r="C1148" s="7"/>
      <c r="D1148" s="7"/>
      <c r="E1148" s="7"/>
      <c r="F1148" s="6"/>
      <c r="G1148" s="6"/>
      <c r="H1148" s="6"/>
      <c r="I1148" s="6"/>
      <c r="J1148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148" s="21"/>
      <c r="L1148" s="7"/>
      <c r="M1148" s="41"/>
      <c r="N1148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148" s="26" t="str">
        <f>IF(
   T_Channel[[#This Row],[ProviderName]]="",
   "",
   COUNTIF($N$12:$N$9982,T_Channel[[#This Row],[ProviderName]])
)</f>
        <v/>
      </c>
      <c r="P1148" s="26" t="str">
        <f>IF(
   T_Channel[[#This Row],[Check]]&lt;&gt;"OK",
   "",
   IF(
      T_Channel[[#This Row],[Query]]="",
      "Empty",
      "Defined"
   )
)</f>
        <v/>
      </c>
      <c r="Q1148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148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148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148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148" s="20" t="str">
        <f>IF(
   T_Channel[[#This Row],[Check]]&lt;&gt;"OK",
   "",
   T_Channel[[#This Row],[ChannelSymbol]] &amp; ".evtx"
)</f>
        <v/>
      </c>
      <c r="V1148" s="20" t="str">
        <f>IF(
   T_Channel[[#This Row],[Check]]&lt;&gt;"OK",
   "",
   T_Channel[[#This Row],[LogFolder]] &amp; "\" &amp; T_Channel[[#This Row],[LogFile]]
)</f>
        <v/>
      </c>
      <c r="W1148" s="20" t="str">
        <f>IF(
   T_Channel[[#This Row],[Safekeeping of logs]]="",
   "",
   VLOOKUP(T_Channel[[#This Row],[Safekeeping of logs]],T_List_LogMode[],2,FALSE)
)</f>
        <v/>
      </c>
      <c r="X1148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149" spans="2:24" x14ac:dyDescent="0.45">
      <c r="B1149" s="7"/>
      <c r="C1149" s="7"/>
      <c r="D1149" s="7"/>
      <c r="E1149" s="7"/>
      <c r="F1149" s="6"/>
      <c r="G1149" s="6"/>
      <c r="H1149" s="6"/>
      <c r="I1149" s="6"/>
      <c r="J1149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149" s="21"/>
      <c r="L1149" s="7"/>
      <c r="M1149" s="41"/>
      <c r="N1149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149" s="26" t="str">
        <f>IF(
   T_Channel[[#This Row],[ProviderName]]="",
   "",
   COUNTIF($N$12:$N$9982,T_Channel[[#This Row],[ProviderName]])
)</f>
        <v/>
      </c>
      <c r="P1149" s="26" t="str">
        <f>IF(
   T_Channel[[#This Row],[Check]]&lt;&gt;"OK",
   "",
   IF(
      T_Channel[[#This Row],[Query]]="",
      "Empty",
      "Defined"
   )
)</f>
        <v/>
      </c>
      <c r="Q1149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149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149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149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149" s="20" t="str">
        <f>IF(
   T_Channel[[#This Row],[Check]]&lt;&gt;"OK",
   "",
   T_Channel[[#This Row],[ChannelSymbol]] &amp; ".evtx"
)</f>
        <v/>
      </c>
      <c r="V1149" s="20" t="str">
        <f>IF(
   T_Channel[[#This Row],[Check]]&lt;&gt;"OK",
   "",
   T_Channel[[#This Row],[LogFolder]] &amp; "\" &amp; T_Channel[[#This Row],[LogFile]]
)</f>
        <v/>
      </c>
      <c r="W1149" s="20" t="str">
        <f>IF(
   T_Channel[[#This Row],[Safekeeping of logs]]="",
   "",
   VLOOKUP(T_Channel[[#This Row],[Safekeeping of logs]],T_List_LogMode[],2,FALSE)
)</f>
        <v/>
      </c>
      <c r="X1149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150" spans="2:24" x14ac:dyDescent="0.45">
      <c r="B1150" s="7"/>
      <c r="C1150" s="7"/>
      <c r="D1150" s="7"/>
      <c r="E1150" s="7"/>
      <c r="F1150" s="6"/>
      <c r="G1150" s="6"/>
      <c r="H1150" s="6"/>
      <c r="I1150" s="6"/>
      <c r="J1150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150" s="21"/>
      <c r="L1150" s="7"/>
      <c r="M1150" s="41"/>
      <c r="N1150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150" s="26" t="str">
        <f>IF(
   T_Channel[[#This Row],[ProviderName]]="",
   "",
   COUNTIF($N$12:$N$9982,T_Channel[[#This Row],[ProviderName]])
)</f>
        <v/>
      </c>
      <c r="P1150" s="26" t="str">
        <f>IF(
   T_Channel[[#This Row],[Check]]&lt;&gt;"OK",
   "",
   IF(
      T_Channel[[#This Row],[Query]]="",
      "Empty",
      "Defined"
   )
)</f>
        <v/>
      </c>
      <c r="Q1150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150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150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150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150" s="20" t="str">
        <f>IF(
   T_Channel[[#This Row],[Check]]&lt;&gt;"OK",
   "",
   T_Channel[[#This Row],[ChannelSymbol]] &amp; ".evtx"
)</f>
        <v/>
      </c>
      <c r="V1150" s="20" t="str">
        <f>IF(
   T_Channel[[#This Row],[Check]]&lt;&gt;"OK",
   "",
   T_Channel[[#This Row],[LogFolder]] &amp; "\" &amp; T_Channel[[#This Row],[LogFile]]
)</f>
        <v/>
      </c>
      <c r="W1150" s="20" t="str">
        <f>IF(
   T_Channel[[#This Row],[Safekeeping of logs]]="",
   "",
   VLOOKUP(T_Channel[[#This Row],[Safekeeping of logs]],T_List_LogMode[],2,FALSE)
)</f>
        <v/>
      </c>
      <c r="X1150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151" spans="2:24" x14ac:dyDescent="0.45">
      <c r="B1151" s="7"/>
      <c r="C1151" s="7"/>
      <c r="D1151" s="7"/>
      <c r="E1151" s="7"/>
      <c r="F1151" s="6"/>
      <c r="G1151" s="6"/>
      <c r="H1151" s="6"/>
      <c r="I1151" s="6"/>
      <c r="J1151" s="26" t="str">
        <f>IF(
   T_Channel[[#This Row],[ChannelNameFolder1]]="",
   "",
   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
)</f>
        <v/>
      </c>
      <c r="K1151" s="21"/>
      <c r="L1151" s="7"/>
      <c r="M1151" s="41"/>
      <c r="N1151" s="18" t="str">
        <f>IF(
   AND(T_Channel[[#This Row],[ChannelNameFolder1]]&lt;&gt;"",T_Channel[[#This Row],[ChannelNameFolder2]]&lt;&gt;"",T_Channel[[#This Row],[ChannelNameFolder3]]&lt;&gt;""),
   T_Channel[[#This Row],[ChannelNameFolder1]]&amp;"-"&amp;T_Channel[[#This Row],[ChannelNameFolder2]]&amp;"-"&amp;T_Channel[[#This Row],[ChannelNameFolder3]],
   ""
)</f>
        <v/>
      </c>
      <c r="O1151" s="26" t="str">
        <f>IF(
   T_Channel[[#This Row],[ProviderName]]="",
   "",
   COUNTIF($N$12:$N$9982,T_Channel[[#This Row],[ProviderName]])
)</f>
        <v/>
      </c>
      <c r="P1151" s="26" t="str">
        <f>IF(
   T_Channel[[#This Row],[Check]]&lt;&gt;"OK",
   "",
   IF(
      T_Channel[[#This Row],[Query]]="",
      "Empty",
      "Defined"
   )
)</f>
        <v/>
      </c>
      <c r="Q1151" s="5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
)</f>
        <v/>
      </c>
      <c r="R1151" s="22" t="str">
        <f>IF(
   T_Channel[[#This Row],[Query]]="",
   "",
   LEFT(SUBSTITUTE(T_Channel[[#This Row],[Query]],"&lt;Select Path=""","",1),FIND("""",SUBSTITUTE(T_Channel[[#This Row],[Query]],"&lt;Select Path=""","",1))-1)
)</f>
        <v/>
      </c>
      <c r="S1151" s="20" t="str">
        <f>IF(
   T_Channel[[#This Row],[Check]]&lt;&gt;"OK",
   "",
   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
)</f>
        <v/>
      </c>
      <c r="T1151" s="20" t="str">
        <f>IF(
   T_Channel[[#This Row],[Check]]&lt;&gt;"OK",
   "",
   IF( T_Channel[[#This Row],[LogFolderRoot]]&lt;&gt;"",T_Channel[[#This Row],[LogFolderRoot]], ReferenceData!$L$6) &amp; "\" &amp; T_Channel[[#This Row],[ChannelNameFolder1]] &amp; "\" &amp; T_Channel[[#This Row],[ChannelNameFolder2]]
)</f>
        <v/>
      </c>
      <c r="U1151" s="20" t="str">
        <f>IF(
   T_Channel[[#This Row],[Check]]&lt;&gt;"OK",
   "",
   T_Channel[[#This Row],[ChannelSymbol]] &amp; ".evtx"
)</f>
        <v/>
      </c>
      <c r="V1151" s="20" t="str">
        <f>IF(
   T_Channel[[#This Row],[Check]]&lt;&gt;"OK",
   "",
   T_Channel[[#This Row],[LogFolder]] &amp; "\" &amp; T_Channel[[#This Row],[LogFile]]
)</f>
        <v/>
      </c>
      <c r="W1151" s="20" t="str">
        <f>IF(
   T_Channel[[#This Row],[Safekeeping of logs]]="",
   "",
   VLOOKUP(T_Channel[[#This Row],[Safekeeping of logs]],T_List_LogMode[],2,FALSE)
)</f>
        <v/>
      </c>
      <c r="X1151" s="18" t="str">
        <f>IF(
   T_Channel[[#This Row],[Check]]&lt;&gt;"OK",
   "",
   T_Channel[[#This Row],[ChannelNameFolder1]]&amp;"-"&amp;T_Channel[[#This Row],[ChannelNameFolder2]]&amp;"-"&amp;T_Channel[[#This Row],[ChannelNameFolder3]]&amp;"/"&amp;T_Channel[[#This Row],[ChannelNameLogFile]]
)</f>
        <v/>
      </c>
    </row>
    <row r="1152" spans="2:24" x14ac:dyDescent="0.45">
      <c r="L1152" s="6"/>
    </row>
  </sheetData>
  <sheetProtection sheet="1" formatColumns="0" formatRows="0" selectLockedCells="1" sort="0" autoFilter="0" pivotTables="0"/>
  <mergeCells count="6">
    <mergeCell ref="K8:M8"/>
    <mergeCell ref="B8:J8"/>
    <mergeCell ref="N8:X8"/>
    <mergeCell ref="N9:X9"/>
    <mergeCell ref="K9:M9"/>
    <mergeCell ref="B9:J9"/>
  </mergeCells>
  <phoneticPr fontId="18" type="noConversion"/>
  <conditionalFormatting sqref="J12:J1151">
    <cfRule type="containsText" dxfId="61" priority="6" operator="containsText" text="OK">
      <formula>NOT(ISERROR(SEARCH("OK",J12)))</formula>
    </cfRule>
    <cfRule type="cellIs" dxfId="60" priority="9" operator="notEqual">
      <formula>"OK"</formula>
    </cfRule>
  </conditionalFormatting>
  <conditionalFormatting sqref="N12:X1151">
    <cfRule type="notContainsBlanks" dxfId="59" priority="252">
      <formula>LEN(TRIM(N12))&gt;0</formula>
    </cfRule>
  </conditionalFormatting>
  <conditionalFormatting sqref="N12:P1151">
    <cfRule type="containsText" dxfId="58" priority="5" operator="containsText" text="ERROR! PROVIDER NOT FOUND!">
      <formula>NOT(ISERROR(SEARCH("ERROR! PROVIDER NOT FOUND!",N12)))</formula>
    </cfRule>
  </conditionalFormatting>
  <conditionalFormatting sqref="Q12:Q1151">
    <cfRule type="duplicateValues" dxfId="57" priority="10"/>
  </conditionalFormatting>
  <conditionalFormatting sqref="J12:X1151">
    <cfRule type="containsBlanks" dxfId="56" priority="1">
      <formula>LEN(TRIM(J12))=0</formula>
    </cfRule>
  </conditionalFormatting>
  <dataValidations count="1">
    <dataValidation allowBlank="1" showErrorMessage="1" sqref="V1152:V1048576 R11:R1151" xr:uid="{9CDF7424-EF5B-4137-B4E8-FA341A4CC98D}"/>
  </dataValidations>
  <pageMargins left="0.7" right="0.7" top="0.78740157499999996" bottom="0.78740157499999996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BDF0EE2B-7568-4F30-83DA-171AEA2BDF18}">
          <x14:formula1>
            <xm:f>ReferenceData!$N$5:$N$40</xm:f>
          </x14:formula1>
          <xm:sqref>J1152:K1048576 F12:F1151</xm:sqref>
        </x14:dataValidation>
        <x14:dataValidation type="list" allowBlank="1" showInputMessage="1" showErrorMessage="1" xr:uid="{B5EB25A7-29C4-4B33-835B-C458E3EC1479}">
          <x14:formula1>
            <xm:f>ReferenceData!$P$5:$P$10</xm:f>
          </x14:formula1>
          <xm:sqref>L1152:L1048576</xm:sqref>
        </x14:dataValidation>
        <x14:dataValidation type="list" allowBlank="1" showInputMessage="1" showErrorMessage="1" xr:uid="{0F8127FB-5AAF-4342-807A-42B3D6BAE4C5}">
          <x14:formula1>
            <xm:f>ReferenceData!$A$5:$A$42</xm:f>
          </x14:formula1>
          <xm:sqref>L12:L1151</xm:sqref>
        </x14:dataValidation>
        <x14:dataValidation type="list" allowBlank="1" showInputMessage="1" showErrorMessage="1" xr:uid="{F362BF8C-5174-4307-B66A-AFC564F7ADBB}">
          <x14:formula1>
            <xm:f>ReferenceData!$I$5:$I$40</xm:f>
          </x14:formula1>
          <xm:sqref>D12:D1151</xm:sqref>
        </x14:dataValidation>
        <x14:dataValidation type="list" allowBlank="1" showInputMessage="1" showErrorMessage="1" xr:uid="{79D0A4D1-3A16-4AB3-ADC3-500DF3C7D307}">
          <x14:formula1>
            <xm:f>ReferenceData!$C$5:$C$40</xm:f>
          </x14:formula1>
          <xm:sqref>B12:B1151</xm:sqref>
        </x14:dataValidation>
        <x14:dataValidation type="list" allowBlank="1" showInputMessage="1" showErrorMessage="1" xr:uid="{456A94C5-CCED-448D-8E44-A52CB8097993}">
          <x14:formula1>
            <xm:f>ReferenceData!$F$5:$F$40</xm:f>
          </x14:formula1>
          <xm:sqref>C12:C1151</xm:sqref>
        </x14:dataValidation>
        <x14:dataValidation type="list" allowBlank="1" showInputMessage="1" showErrorMessage="1" xr:uid="{662F8F42-C15E-464D-83F3-D18EAFD950C0}">
          <x14:formula1>
            <xm:f>ReferenceData!$S$5:$S$7</xm:f>
          </x14:formula1>
          <xm:sqref>M12:M1151 I12:I1151</xm:sqref>
        </x14:dataValidation>
        <x14:dataValidation type="list" allowBlank="1" showInputMessage="1" showErrorMessage="1" xr:uid="{D1E9CB68-4D82-48A3-8459-E6ABB29C52DD}">
          <x14:formula1>
            <xm:f>ReferenceData!$P$5:$P$8</xm:f>
          </x14:formula1>
          <xm:sqref>G12:G1151</xm:sqref>
        </x14:dataValidation>
        <x14:dataValidation type="list" allowBlank="1" showInputMessage="1" showErrorMessage="1" xr:uid="{D15B87A1-8A25-4335-96CA-44B78352BE13}">
          <x14:formula1>
            <xm:f>ReferenceData!$L$5:$L$40</xm:f>
          </x14:formula1>
          <xm:sqref>H12:H1151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F4DC6-7B00-42DD-97C2-1E9886516F18}">
  <sheetPr>
    <tabColor theme="1"/>
  </sheetPr>
  <dimension ref="A1:S40"/>
  <sheetViews>
    <sheetView topLeftCell="A3" workbookViewId="0">
      <selection activeCell="A5" sqref="A5"/>
    </sheetView>
  </sheetViews>
  <sheetFormatPr baseColWidth="10" defaultColWidth="11.3984375" defaultRowHeight="14.25" x14ac:dyDescent="0.45"/>
  <cols>
    <col min="1" max="1" width="48.86328125" customWidth="1"/>
    <col min="2" max="2" width="11.73046875" customWidth="1"/>
    <col min="3" max="3" width="22.3984375" customWidth="1"/>
    <col min="4" max="4" width="21.73046875" customWidth="1"/>
    <col min="5" max="5" width="11.73046875" customWidth="1"/>
    <col min="6" max="6" width="22.3984375" customWidth="1"/>
    <col min="7" max="7" width="21" customWidth="1"/>
    <col min="8" max="8" width="11.73046875" customWidth="1"/>
    <col min="9" max="9" width="26.1328125" bestFit="1" customWidth="1"/>
    <col min="10" max="10" width="20.59765625" customWidth="1"/>
    <col min="11" max="11" width="10.73046875" customWidth="1"/>
    <col min="12" max="12" width="14.265625" customWidth="1"/>
    <col min="13" max="13" width="10.73046875" customWidth="1"/>
    <col min="14" max="14" width="24" customWidth="1"/>
    <col min="15" max="15" width="10.73046875" customWidth="1"/>
    <col min="16" max="16" width="24.73046875" bestFit="1" customWidth="1"/>
  </cols>
  <sheetData>
    <row r="1" spans="1:19" ht="23.25" x14ac:dyDescent="0.7">
      <c r="A1" s="3" t="s">
        <v>145</v>
      </c>
    </row>
    <row r="2" spans="1:19" x14ac:dyDescent="0.45">
      <c r="A2" s="23" t="s">
        <v>1</v>
      </c>
    </row>
    <row r="3" spans="1:19" s="27" customFormat="1" ht="71.25" x14ac:dyDescent="0.45">
      <c r="A3" s="24" t="s">
        <v>153</v>
      </c>
      <c r="C3" s="59" t="s">
        <v>67</v>
      </c>
      <c r="D3" s="60"/>
      <c r="F3" s="59" t="s">
        <v>68</v>
      </c>
      <c r="G3" s="60"/>
      <c r="I3" s="59" t="s">
        <v>69</v>
      </c>
      <c r="J3" s="60"/>
      <c r="L3" s="29" t="s">
        <v>70</v>
      </c>
      <c r="N3" s="29" t="s">
        <v>71</v>
      </c>
      <c r="P3" s="61" t="s">
        <v>72</v>
      </c>
      <c r="Q3" s="62"/>
      <c r="S3" s="29" t="s">
        <v>136</v>
      </c>
    </row>
    <row r="4" spans="1:19" s="17" customFormat="1" ht="36.75" customHeight="1" x14ac:dyDescent="0.45">
      <c r="A4" s="16" t="s">
        <v>22</v>
      </c>
      <c r="C4" s="17" t="s">
        <v>17</v>
      </c>
      <c r="D4" s="17" t="s">
        <v>73</v>
      </c>
      <c r="F4" s="17" t="s">
        <v>18</v>
      </c>
      <c r="G4" s="17" t="s">
        <v>74</v>
      </c>
      <c r="I4" s="17" t="s">
        <v>19</v>
      </c>
      <c r="J4" s="17" t="s">
        <v>75</v>
      </c>
      <c r="L4" s="42" t="s">
        <v>76</v>
      </c>
      <c r="N4" s="16" t="s">
        <v>77</v>
      </c>
      <c r="P4" s="16" t="s">
        <v>78</v>
      </c>
      <c r="Q4" s="33" t="s">
        <v>34</v>
      </c>
      <c r="S4" t="s">
        <v>131</v>
      </c>
    </row>
    <row r="5" spans="1:19" x14ac:dyDescent="0.45">
      <c r="A5" s="28"/>
      <c r="C5" s="6"/>
      <c r="D5" s="6"/>
      <c r="F5" s="6"/>
      <c r="G5" s="6"/>
      <c r="I5" s="6"/>
      <c r="J5" s="6"/>
      <c r="L5" s="7"/>
      <c r="N5" s="28"/>
      <c r="P5" s="28"/>
      <c r="Q5" s="31"/>
    </row>
    <row r="6" spans="1:19" x14ac:dyDescent="0.45">
      <c r="A6" s="6" t="s">
        <v>35</v>
      </c>
      <c r="C6" s="6" t="s">
        <v>35</v>
      </c>
      <c r="D6" s="6" t="s">
        <v>80</v>
      </c>
      <c r="F6" s="6" t="s">
        <v>36</v>
      </c>
      <c r="G6" s="6" t="s">
        <v>81</v>
      </c>
      <c r="I6" s="6" t="s">
        <v>37</v>
      </c>
      <c r="J6" s="6" t="s">
        <v>82</v>
      </c>
      <c r="L6" s="5" t="s">
        <v>158</v>
      </c>
      <c r="N6" s="6" t="s">
        <v>41</v>
      </c>
      <c r="P6" s="6" t="s">
        <v>39</v>
      </c>
      <c r="Q6" s="31" t="s">
        <v>83</v>
      </c>
      <c r="S6" t="s">
        <v>134</v>
      </c>
    </row>
    <row r="7" spans="1:19" x14ac:dyDescent="0.45">
      <c r="A7" s="6" t="s">
        <v>63</v>
      </c>
      <c r="C7" s="6" t="s">
        <v>63</v>
      </c>
      <c r="D7" s="6" t="s">
        <v>84</v>
      </c>
      <c r="F7" s="6" t="s">
        <v>42</v>
      </c>
      <c r="G7" s="6" t="s">
        <v>85</v>
      </c>
      <c r="I7" s="6" t="s">
        <v>40</v>
      </c>
      <c r="J7" s="6" t="s">
        <v>86</v>
      </c>
      <c r="L7" s="5" t="s">
        <v>79</v>
      </c>
      <c r="N7" s="6" t="s">
        <v>38</v>
      </c>
      <c r="P7" s="6" t="s">
        <v>57</v>
      </c>
      <c r="Q7" s="31" t="s">
        <v>87</v>
      </c>
      <c r="S7" t="s">
        <v>135</v>
      </c>
    </row>
    <row r="8" spans="1:19" x14ac:dyDescent="0.45">
      <c r="A8" s="6" t="s">
        <v>154</v>
      </c>
      <c r="C8" s="6" t="s">
        <v>116</v>
      </c>
      <c r="D8" s="6" t="s">
        <v>88</v>
      </c>
      <c r="F8" s="6" t="s">
        <v>44</v>
      </c>
      <c r="G8" s="6" t="s">
        <v>89</v>
      </c>
      <c r="I8" s="6" t="s">
        <v>43</v>
      </c>
      <c r="J8" s="6" t="s">
        <v>90</v>
      </c>
      <c r="L8" s="7"/>
      <c r="N8" s="30" t="s">
        <v>64</v>
      </c>
      <c r="P8" s="30" t="s">
        <v>91</v>
      </c>
      <c r="Q8" s="31" t="s">
        <v>92</v>
      </c>
    </row>
    <row r="9" spans="1:19" x14ac:dyDescent="0.45">
      <c r="A9" s="6" t="s">
        <v>155</v>
      </c>
      <c r="C9" s="6" t="s">
        <v>115</v>
      </c>
      <c r="D9" s="6" t="s">
        <v>114</v>
      </c>
      <c r="F9" s="6" t="s">
        <v>45</v>
      </c>
      <c r="G9" s="6" t="s">
        <v>93</v>
      </c>
      <c r="I9" s="6" t="s">
        <v>46</v>
      </c>
      <c r="J9" s="6" t="s">
        <v>94</v>
      </c>
      <c r="L9" s="5"/>
      <c r="N9" s="30" t="s">
        <v>95</v>
      </c>
      <c r="P9" s="47"/>
      <c r="Q9" s="48"/>
    </row>
    <row r="10" spans="1:19" x14ac:dyDescent="0.45">
      <c r="A10" s="6" t="s">
        <v>156</v>
      </c>
      <c r="C10" s="6" t="s">
        <v>65</v>
      </c>
      <c r="D10" s="6" t="s">
        <v>96</v>
      </c>
      <c r="F10" s="6" t="s">
        <v>54</v>
      </c>
      <c r="G10" s="6" t="s">
        <v>97</v>
      </c>
      <c r="I10" s="6" t="s">
        <v>47</v>
      </c>
      <c r="J10" s="6" t="s">
        <v>98</v>
      </c>
      <c r="L10" s="7"/>
      <c r="N10" s="30" t="s">
        <v>53</v>
      </c>
      <c r="P10" s="47"/>
      <c r="Q10" s="48"/>
    </row>
    <row r="11" spans="1:19" x14ac:dyDescent="0.45">
      <c r="A11" s="6" t="s">
        <v>157</v>
      </c>
      <c r="C11" s="6" t="s">
        <v>66</v>
      </c>
      <c r="D11" s="6" t="s">
        <v>99</v>
      </c>
      <c r="F11" s="6" t="s">
        <v>61</v>
      </c>
      <c r="G11" s="6" t="s">
        <v>100</v>
      </c>
      <c r="I11" s="6" t="s">
        <v>48</v>
      </c>
      <c r="J11" s="6" t="s">
        <v>101</v>
      </c>
      <c r="L11" s="5"/>
      <c r="N11" s="30" t="s">
        <v>102</v>
      </c>
    </row>
    <row r="12" spans="1:19" x14ac:dyDescent="0.45">
      <c r="A12" s="6"/>
      <c r="C12" s="6"/>
      <c r="D12" s="6"/>
      <c r="F12" s="6" t="s">
        <v>62</v>
      </c>
      <c r="G12" s="6" t="s">
        <v>103</v>
      </c>
      <c r="I12" s="6" t="s">
        <v>49</v>
      </c>
      <c r="J12" s="6" t="s">
        <v>104</v>
      </c>
      <c r="L12" s="7"/>
      <c r="N12" s="31"/>
    </row>
    <row r="13" spans="1:19" x14ac:dyDescent="0.45">
      <c r="A13" s="6"/>
      <c r="C13" s="6"/>
      <c r="D13" s="6"/>
      <c r="F13" s="6"/>
      <c r="G13" s="6"/>
      <c r="I13" s="6" t="s">
        <v>50</v>
      </c>
      <c r="J13" s="6" t="s">
        <v>105</v>
      </c>
      <c r="L13" s="7"/>
      <c r="N13" s="31"/>
    </row>
    <row r="14" spans="1:19" x14ac:dyDescent="0.45">
      <c r="A14" s="6"/>
      <c r="C14" s="6"/>
      <c r="D14" s="6"/>
      <c r="F14" s="6"/>
      <c r="G14" s="6"/>
      <c r="I14" s="6" t="s">
        <v>51</v>
      </c>
      <c r="J14" s="6" t="s">
        <v>106</v>
      </c>
      <c r="L14" s="7"/>
      <c r="N14" s="31"/>
    </row>
    <row r="15" spans="1:19" x14ac:dyDescent="0.45">
      <c r="A15" s="6"/>
      <c r="C15" s="6"/>
      <c r="D15" s="6"/>
      <c r="F15" s="6"/>
      <c r="G15" s="6"/>
      <c r="I15" s="6" t="s">
        <v>52</v>
      </c>
      <c r="J15" s="6" t="s">
        <v>107</v>
      </c>
      <c r="L15" s="7"/>
      <c r="N15" s="31"/>
    </row>
    <row r="16" spans="1:19" x14ac:dyDescent="0.45">
      <c r="A16" s="6"/>
      <c r="C16" s="6"/>
      <c r="D16" s="6"/>
      <c r="F16" s="6"/>
      <c r="G16" s="6"/>
      <c r="I16" s="6" t="s">
        <v>55</v>
      </c>
      <c r="J16" s="6" t="s">
        <v>108</v>
      </c>
      <c r="L16" s="7"/>
      <c r="N16" s="31"/>
    </row>
    <row r="17" spans="1:14" x14ac:dyDescent="0.45">
      <c r="A17" s="6"/>
      <c r="C17" s="6"/>
      <c r="D17" s="6"/>
      <c r="F17" s="6"/>
      <c r="G17" s="6"/>
      <c r="I17" s="6" t="s">
        <v>58</v>
      </c>
      <c r="J17" s="6" t="s">
        <v>109</v>
      </c>
      <c r="L17" s="7"/>
      <c r="N17" s="31"/>
    </row>
    <row r="18" spans="1:14" x14ac:dyDescent="0.45">
      <c r="A18" s="6"/>
      <c r="C18" s="6"/>
      <c r="D18" s="6"/>
      <c r="F18" s="6"/>
      <c r="G18" s="6"/>
      <c r="I18" s="6" t="s">
        <v>59</v>
      </c>
      <c r="J18" s="6" t="s">
        <v>110</v>
      </c>
      <c r="L18" s="7"/>
      <c r="N18" s="31"/>
    </row>
    <row r="19" spans="1:14" x14ac:dyDescent="0.45">
      <c r="A19" s="6"/>
      <c r="C19" s="6"/>
      <c r="D19" s="6"/>
      <c r="F19" s="6"/>
      <c r="G19" s="6"/>
      <c r="I19" s="6" t="s">
        <v>60</v>
      </c>
      <c r="J19" s="6" t="s">
        <v>111</v>
      </c>
      <c r="L19" s="7"/>
      <c r="N19" s="31"/>
    </row>
    <row r="20" spans="1:14" x14ac:dyDescent="0.45">
      <c r="A20" s="6"/>
      <c r="C20" s="6"/>
      <c r="D20" s="6"/>
      <c r="F20" s="6"/>
      <c r="G20" s="6"/>
      <c r="I20" s="6" t="s">
        <v>56</v>
      </c>
      <c r="J20" s="6" t="s">
        <v>112</v>
      </c>
      <c r="L20" s="7"/>
      <c r="N20" s="31"/>
    </row>
    <row r="21" spans="1:14" x14ac:dyDescent="0.45">
      <c r="A21" s="6"/>
      <c r="C21" s="6"/>
      <c r="D21" s="6"/>
      <c r="F21" s="6"/>
      <c r="G21" s="6"/>
      <c r="I21" s="6" t="s">
        <v>125</v>
      </c>
      <c r="J21" s="6" t="s">
        <v>126</v>
      </c>
      <c r="L21" s="7"/>
      <c r="N21" s="31"/>
    </row>
    <row r="22" spans="1:14" x14ac:dyDescent="0.45">
      <c r="A22" s="6"/>
      <c r="C22" s="6"/>
      <c r="D22" s="6"/>
      <c r="F22" s="6"/>
      <c r="G22" s="6"/>
      <c r="I22" s="6"/>
      <c r="J22" s="6"/>
      <c r="L22" s="7"/>
      <c r="N22" s="31"/>
    </row>
    <row r="23" spans="1:14" x14ac:dyDescent="0.45">
      <c r="A23" s="6"/>
      <c r="C23" s="6"/>
      <c r="D23" s="6"/>
      <c r="F23" s="6"/>
      <c r="G23" s="6"/>
      <c r="I23" s="6"/>
      <c r="J23" s="6"/>
      <c r="L23" s="7"/>
      <c r="N23" s="31"/>
    </row>
    <row r="24" spans="1:14" x14ac:dyDescent="0.45">
      <c r="A24" s="6"/>
      <c r="C24" s="6"/>
      <c r="D24" s="6"/>
      <c r="F24" s="6"/>
      <c r="G24" s="6"/>
      <c r="I24" s="6"/>
      <c r="J24" s="6"/>
      <c r="L24" s="7"/>
      <c r="N24" s="31"/>
    </row>
    <row r="25" spans="1:14" x14ac:dyDescent="0.45">
      <c r="A25" s="6"/>
      <c r="C25" s="6"/>
      <c r="D25" s="6"/>
      <c r="F25" s="6"/>
      <c r="G25" s="6"/>
      <c r="I25" s="6"/>
      <c r="J25" s="6"/>
      <c r="L25" s="7"/>
      <c r="N25" s="31"/>
    </row>
    <row r="26" spans="1:14" x14ac:dyDescent="0.45">
      <c r="A26" s="6"/>
      <c r="C26" s="6"/>
      <c r="D26" s="6"/>
      <c r="F26" s="6"/>
      <c r="G26" s="6"/>
      <c r="I26" s="6"/>
      <c r="J26" s="6"/>
      <c r="L26" s="7"/>
      <c r="N26" s="31"/>
    </row>
    <row r="27" spans="1:14" x14ac:dyDescent="0.45">
      <c r="A27" s="6"/>
      <c r="C27" s="6"/>
      <c r="D27" s="6"/>
      <c r="F27" s="6"/>
      <c r="G27" s="6"/>
      <c r="I27" s="6"/>
      <c r="J27" s="6"/>
      <c r="L27" s="7"/>
      <c r="N27" s="31"/>
    </row>
    <row r="28" spans="1:14" x14ac:dyDescent="0.45">
      <c r="A28" s="6"/>
      <c r="C28" s="6"/>
      <c r="D28" s="6"/>
      <c r="F28" s="6"/>
      <c r="G28" s="6"/>
      <c r="I28" s="6"/>
      <c r="J28" s="6"/>
      <c r="L28" s="7"/>
      <c r="N28" s="31"/>
    </row>
    <row r="29" spans="1:14" x14ac:dyDescent="0.45">
      <c r="A29" s="6"/>
      <c r="C29" s="6"/>
      <c r="D29" s="6"/>
      <c r="F29" s="6"/>
      <c r="G29" s="6"/>
      <c r="I29" s="6"/>
      <c r="J29" s="6"/>
      <c r="L29" s="7"/>
      <c r="N29" s="31"/>
    </row>
    <row r="30" spans="1:14" x14ac:dyDescent="0.45">
      <c r="A30" s="6"/>
      <c r="C30" s="6"/>
      <c r="D30" s="6"/>
      <c r="F30" s="6"/>
      <c r="G30" s="6"/>
      <c r="I30" s="6"/>
      <c r="J30" s="6"/>
      <c r="L30" s="7"/>
      <c r="N30" s="31"/>
    </row>
    <row r="31" spans="1:14" x14ac:dyDescent="0.45">
      <c r="A31" s="6"/>
      <c r="C31" s="6"/>
      <c r="D31" s="6"/>
      <c r="F31" s="6"/>
      <c r="G31" s="6"/>
      <c r="I31" s="6"/>
      <c r="J31" s="6"/>
      <c r="L31" s="7"/>
      <c r="N31" s="31"/>
    </row>
    <row r="32" spans="1:14" x14ac:dyDescent="0.45">
      <c r="A32" s="6"/>
      <c r="C32" s="6"/>
      <c r="D32" s="6"/>
      <c r="F32" s="6"/>
      <c r="G32" s="6"/>
      <c r="I32" s="6"/>
      <c r="J32" s="6"/>
      <c r="L32" s="7"/>
      <c r="N32" s="31"/>
    </row>
    <row r="33" spans="1:14" x14ac:dyDescent="0.45">
      <c r="A33" s="6"/>
      <c r="C33" s="6"/>
      <c r="D33" s="6"/>
      <c r="F33" s="6"/>
      <c r="G33" s="6"/>
      <c r="I33" s="6"/>
      <c r="J33" s="6"/>
      <c r="L33" s="7"/>
      <c r="N33" s="31"/>
    </row>
    <row r="34" spans="1:14" x14ac:dyDescent="0.45">
      <c r="A34" s="6"/>
      <c r="C34" s="6"/>
      <c r="D34" s="6"/>
      <c r="F34" s="6"/>
      <c r="G34" s="6"/>
      <c r="I34" s="6"/>
      <c r="J34" s="6"/>
      <c r="L34" s="7"/>
      <c r="N34" s="31"/>
    </row>
    <row r="35" spans="1:14" x14ac:dyDescent="0.45">
      <c r="A35" s="6"/>
      <c r="C35" s="6"/>
      <c r="D35" s="6"/>
      <c r="F35" s="6"/>
      <c r="G35" s="6"/>
      <c r="I35" s="6"/>
      <c r="J35" s="6"/>
      <c r="L35" s="7"/>
      <c r="N35" s="31"/>
    </row>
    <row r="36" spans="1:14" x14ac:dyDescent="0.45">
      <c r="A36" s="6"/>
      <c r="C36" s="6"/>
      <c r="D36" s="6"/>
      <c r="F36" s="6"/>
      <c r="G36" s="6"/>
      <c r="I36" s="6"/>
      <c r="J36" s="6"/>
      <c r="L36" s="7"/>
      <c r="N36" s="31"/>
    </row>
    <row r="37" spans="1:14" x14ac:dyDescent="0.45">
      <c r="A37" s="6"/>
      <c r="C37" s="6"/>
      <c r="D37" s="6"/>
      <c r="F37" s="6"/>
      <c r="G37" s="6"/>
      <c r="I37" s="6"/>
      <c r="J37" s="6"/>
      <c r="L37" s="7"/>
      <c r="N37" s="31"/>
    </row>
    <row r="38" spans="1:14" x14ac:dyDescent="0.45">
      <c r="A38" s="6"/>
      <c r="C38" s="6"/>
      <c r="D38" s="6"/>
      <c r="F38" s="6"/>
      <c r="G38" s="6"/>
      <c r="I38" s="6"/>
      <c r="J38" s="6"/>
      <c r="L38" s="7"/>
      <c r="N38" s="31"/>
    </row>
    <row r="39" spans="1:14" x14ac:dyDescent="0.45">
      <c r="A39" s="6"/>
      <c r="C39" s="6"/>
      <c r="D39" s="6"/>
      <c r="F39" s="6"/>
      <c r="G39" s="6"/>
      <c r="I39" s="6"/>
      <c r="J39" s="6"/>
      <c r="L39" s="7"/>
      <c r="N39" s="31"/>
    </row>
    <row r="40" spans="1:14" x14ac:dyDescent="0.45">
      <c r="A40" s="6"/>
      <c r="C40" s="6"/>
      <c r="D40" s="6"/>
      <c r="F40" s="6"/>
      <c r="G40" s="6"/>
      <c r="I40" s="6"/>
      <c r="J40" s="6"/>
      <c r="L40" s="7"/>
      <c r="N40" s="31"/>
    </row>
  </sheetData>
  <sheetProtection sheet="1" formatRows="0" selectLockedCells="1" sort="0" autoFilter="0"/>
  <mergeCells count="4">
    <mergeCell ref="C3:D3"/>
    <mergeCell ref="F3:G3"/>
    <mergeCell ref="I3:J3"/>
    <mergeCell ref="P3:Q3"/>
  </mergeCells>
  <pageMargins left="0.7" right="0.7" top="0.78740157499999996" bottom="0.78740157499999996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C440F-C192-43A8-9E2C-3EDB61F94951}">
  <sheetPr>
    <tabColor theme="7"/>
  </sheetPr>
  <dimension ref="A1:C11"/>
  <sheetViews>
    <sheetView workbookViewId="0">
      <selection activeCell="A8" sqref="A8"/>
    </sheetView>
  </sheetViews>
  <sheetFormatPr baseColWidth="10" defaultRowHeight="14.25" x14ac:dyDescent="0.45"/>
  <cols>
    <col min="1" max="1" width="44.59765625" bestFit="1" customWidth="1"/>
    <col min="2" max="5" width="25.73046875" customWidth="1"/>
    <col min="6" max="6" width="15.3984375" bestFit="1" customWidth="1"/>
  </cols>
  <sheetData>
    <row r="1" spans="1:3" ht="23.25" x14ac:dyDescent="0.7">
      <c r="A1" s="3" t="s">
        <v>149</v>
      </c>
    </row>
    <row r="4" spans="1:3" x14ac:dyDescent="0.45">
      <c r="A4" s="14" t="s">
        <v>150</v>
      </c>
      <c r="B4" s="14" t="s">
        <v>151</v>
      </c>
    </row>
    <row r="5" spans="1:3" x14ac:dyDescent="0.45">
      <c r="A5" s="14" t="s">
        <v>152</v>
      </c>
      <c r="B5" s="45" t="s">
        <v>113</v>
      </c>
      <c r="C5" t="s">
        <v>146</v>
      </c>
    </row>
    <row r="6" spans="1:3" x14ac:dyDescent="0.45">
      <c r="A6" s="43" t="s">
        <v>35</v>
      </c>
      <c r="B6" s="46">
        <v>8</v>
      </c>
      <c r="C6" s="15">
        <v>8</v>
      </c>
    </row>
    <row r="7" spans="1:3" x14ac:dyDescent="0.45">
      <c r="A7" s="44" t="s">
        <v>148</v>
      </c>
      <c r="B7" s="46">
        <v>8</v>
      </c>
      <c r="C7" s="15">
        <v>8</v>
      </c>
    </row>
    <row r="8" spans="1:3" x14ac:dyDescent="0.45">
      <c r="A8" s="43" t="s">
        <v>63</v>
      </c>
      <c r="B8" s="46">
        <v>15</v>
      </c>
      <c r="C8" s="15">
        <v>15</v>
      </c>
    </row>
    <row r="9" spans="1:3" x14ac:dyDescent="0.45">
      <c r="A9" s="44" t="s">
        <v>148</v>
      </c>
      <c r="B9" s="46">
        <v>8</v>
      </c>
      <c r="C9" s="15">
        <v>8</v>
      </c>
    </row>
    <row r="10" spans="1:3" x14ac:dyDescent="0.45">
      <c r="A10" s="44" t="s">
        <v>162</v>
      </c>
      <c r="B10" s="46">
        <v>7</v>
      </c>
      <c r="C10" s="15">
        <v>7</v>
      </c>
    </row>
    <row r="11" spans="1:3" x14ac:dyDescent="0.45">
      <c r="A11" s="43" t="s">
        <v>146</v>
      </c>
      <c r="B11" s="46">
        <v>23</v>
      </c>
      <c r="C11" s="15">
        <v>23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Diagramme</vt:lpstr>
      </vt:variant>
      <vt:variant>
        <vt:i4>1</vt:i4>
      </vt:variant>
    </vt:vector>
  </HeadingPairs>
  <TitlesOfParts>
    <vt:vector size="4" baseType="lpstr">
      <vt:lpstr>CustomEventLogChannels</vt:lpstr>
      <vt:lpstr>ReferenceData</vt:lpstr>
      <vt:lpstr>View_Pivot_CheckPerGroup</vt:lpstr>
      <vt:lpstr>View_Diagram_CheckPerGroup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Bellstedt, Andreas</dc:creator>
  <cp:keywords/>
  <dc:description/>
  <cp:lastModifiedBy>Andi B.</cp:lastModifiedBy>
  <cp:revision/>
  <dcterms:created xsi:type="dcterms:W3CDTF">2018-04-28T12:11:08Z</dcterms:created>
  <dcterms:modified xsi:type="dcterms:W3CDTF">2022-07-24T19:49:16Z</dcterms:modified>
  <cp:category/>
  <cp:contentStatus/>
</cp:coreProperties>
</file>